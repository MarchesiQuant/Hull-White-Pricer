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"/>
    </mc:Choice>
  </mc:AlternateContent>
  <xr:revisionPtr revIDLastSave="506" documentId="8_{00F85499-E803-408C-8FFB-B6A833A2FC2B}" xr6:coauthVersionLast="47" xr6:coauthVersionMax="47" xr10:uidLastSave="{F82CB4B9-9145-4B1B-B8FD-FDE7FDDC4796}"/>
  <bookViews>
    <workbookView xWindow="-110" yWindow="-110" windowWidth="19420" windowHeight="11500" activeTab="1" xr2:uid="{00000000-000D-0000-FFFF-FFFF00000000}"/>
  </bookViews>
  <sheets>
    <sheet name="Curve" sheetId="2" r:id="rId1"/>
    <sheet name="Templa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2" i="3" l="1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<sst xmlns="http://schemas.openxmlformats.org/spreadsheetml/2006/main" count="43" uniqueCount="43">
  <si>
    <t>Tenor</t>
  </si>
  <si>
    <t>End Date</t>
  </si>
  <si>
    <t>Discount Factor</t>
  </si>
  <si>
    <t>0D</t>
  </si>
  <si>
    <t>1D</t>
  </si>
  <si>
    <t>1W</t>
  </si>
  <si>
    <t>2W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</si>
  <si>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</si>
  <si>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</si>
  <si>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</si>
  <si>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</si>
  <si>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</si>
  <si>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</si>
  <si>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</si>
  <si>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</si>
  <si>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</si>
  <si>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</si>
  <si>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</si>
  <si>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</si>
  <si>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</si>
  <si>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</si>
  <si>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</si>
  <si>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</si>
  <si>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</si>
  <si>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</si>
  <si>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</si>
  <si>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</si>
  <si>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</si>
  <si>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</si>
  <si>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</si>
  <si>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</si>
  <si>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</si>
  <si>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</si>
  <si>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</si>
  <si>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</si>
  <si>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</si>
  <si>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Year Frac.</t>
  </si>
  <si>
    <t>Dates</t>
  </si>
  <si>
    <t>Notional</t>
  </si>
  <si>
    <t>Price</t>
  </si>
  <si>
    <t>Strike</t>
  </si>
  <si>
    <t>Expiry</t>
  </si>
  <si>
    <t xml:space="preserve">Tenor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</si>
</sst>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;@"/>
    <numFmt numFmtId="166" formatCode="0.0000"/>
    <numFmt numFmtId="167" formatCode="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EYInterstate"/>
    </font>
    <font>
      <b/>
      <i/>
      <sz val="10"/>
      <color rgb="FF000000"/>
      <name val="EYInterstate"/>
    </font>
  </fonts>
  <fills count="4">
    <fill>
      <patternFill patternType="none"/>
    </fill>
    <fill>
      <patternFill patternType="gray125"/>
    </fill>
    <fill>
      <patternFill patternType="solid">
        <fgColor rgb="FFFAE600"/>
        <bgColor rgb="FF000000"/>
      </patternFill>
    </fill>
    <fill>
      <patternFill patternType="solid">
        <fgColor rgb="FFFFF9E7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2" borderId="2" applyNumberFormat="0">
      <alignment horizontal="center" vertical="center" wrapText="1"/>
    </xf>
    <xf numFmtId="164" fontId="2" fillId="3" borderId="1" applyNumberFormat="0" applyBorder="0">
      <alignment horizontal="center" vertical="center"/>
    </xf>
  </cellStyleXfs>
  <cellXfs count="28">
    <xf numFmtId="0" fontId="0" fillId="0" borderId="0" xfId="0"/>
    <xf numFmtId="0" fontId="1" fillId="0" borderId="0" xfId="0" applyFont="1"/>
    <xf numFmtId="0" fontId="3" fillId="2" borderId="2" xfId="1">
      <alignment horizontal="center" vertical="center" wrapText="1"/>
    </xf>
    <xf numFmtId="0" fontId="2" fillId="3" borderId="3" xfId="2" applyNumberFormat="1" applyBorder="1">
      <alignment horizontal="center" vertical="center"/>
    </xf>
    <xf numFmtId="165" fontId="2" fillId="3" borderId="4" xfId="2" applyNumberFormat="1" applyBorder="1">
      <alignment horizontal="center" vertical="center"/>
    </xf>
    <xf numFmtId="166" fontId="2" fillId="3" borderId="5" xfId="2" applyNumberFormat="1" applyBorder="1">
      <alignment horizontal="center" vertical="center"/>
    </xf>
    <xf numFmtId="0" fontId="2" fillId="3" borderId="6" xfId="2" applyNumberFormat="1" applyBorder="1">
      <alignment horizontal="center" vertical="center"/>
    </xf>
    <xf numFmtId="165" fontId="2" fillId="3" borderId="0" xfId="2" applyNumberFormat="1" applyBorder="1">
      <alignment horizontal="center" vertical="center"/>
    </xf>
    <xf numFmtId="166" fontId="2" fillId="3" borderId="7" xfId="2" applyNumberFormat="1" applyBorder="1">
      <alignment horizontal="center" vertical="center"/>
    </xf>
    <xf numFmtId="0" fontId="2" fillId="3" borderId="8" xfId="2" applyNumberFormat="1" applyBorder="1">
      <alignment horizontal="center" vertical="center"/>
    </xf>
    <xf numFmtId="165" fontId="2" fillId="3" borderId="9" xfId="2" applyNumberFormat="1" applyBorder="1">
      <alignment horizontal="center" vertical="center"/>
    </xf>
    <xf numFmtId="166" fontId="2" fillId="3" borderId="10" xfId="2" applyNumberFormat="1" applyBorder="1">
      <alignment horizontal="center" vertical="center"/>
    </xf>
    <xf numFmtId="2" fontId="2" fillId="3" borderId="4" xfId="2" applyNumberFormat="1" applyBorder="1">
      <alignment horizontal="center" vertical="center"/>
    </xf>
    <xf numFmtId="2" fontId="2" fillId="3" borderId="0" xfId="2" applyNumberFormat="1" applyBorder="1">
      <alignment horizontal="center" vertical="center"/>
    </xf>
    <xf numFmtId="2" fontId="2" fillId="3" borderId="9" xfId="2" applyNumberFormat="1" applyBorder="1">
      <alignment horizontal="center" vertical="center"/>
    </xf>
    <xf numFmtId="4" fontId="2" fillId="3" borderId="4" xfId="2" applyNumberFormat="1" applyBorder="1">
      <alignment horizontal="center" vertical="center"/>
    </xf>
    <xf numFmtId="4" fontId="2" fillId="3" borderId="12" xfId="2" applyNumberFormat="1" applyBorder="1">
      <alignment horizontal="center" vertical="center"/>
    </xf>
    <xf numFmtId="2" fontId="2" fillId="3" borderId="5" xfId="2" applyNumberFormat="1" applyBorder="1">
      <alignment horizontal="center" vertical="center"/>
    </xf>
    <xf numFmtId="0" fontId="2" fillId="3" borderId="11" xfId="2" applyNumberFormat="1" applyBorder="1">
      <alignment horizontal="center" vertical="center"/>
    </xf>
    <xf numFmtId="2" fontId="0" fillId="0" borderId="0" xfId="0" applyNumberFormat="1"/>
    <xf numFmtId="2" fontId="2" fillId="3" borderId="12" xfId="2" applyNumberFormat="1" applyBorder="1">
      <alignment horizontal="center" vertical="center"/>
    </xf>
    <xf numFmtId="2" fontId="2" fillId="3" borderId="13" xfId="2" applyNumberFormat="1" applyBorder="1">
      <alignment horizontal="center" vertical="center"/>
    </xf>
    <xf numFmtId="0" fontId="2" fillId="3" borderId="12" xfId="2" applyNumberFormat="1" applyBorder="1">
      <alignment horizontal="center" vertical="center"/>
    </xf>
    <xf numFmtId="167" fontId="2" fillId="3" borderId="12" xfId="2" applyNumberFormat="1" applyBorder="1">
      <alignment horizontal="center" vertical="center"/>
    </xf>
    <xf numFmtId="0" fontId="2" fillId="3" borderId="4" xfId="2" applyNumberFormat="1" applyBorder="1">
      <alignment horizontal="center" vertical="center"/>
    </xf>
    <xf numFmtId="167" fontId="2" fillId="3" borderId="4" xfId="2" applyNumberFormat="1" applyBorder="1">
      <alignment horizontal="center" vertical="center"/>
    </xf>
    <xf numFmtId="166" fontId="2" fillId="3" borderId="12" xfId="2" applyNumberFormat="1" applyBorder="1">
      <alignment horizontal="center" vertical="center"/>
    </xf>
    <xf numFmtId="0" fontId="3" fillId="2" borderId="14" xfId="1" applyBorder="1">
      <alignment horizontal="center" vertical="center" wrapText="1"/>
    </xf>
  </cellXfs>
  <cellStyles count="3">
    <cellStyle name="Cuerpo" xfId="2" xr:uid="{716B5A63-F772-49BA-A40D-0006FEFFEFF4}"/>
    <cellStyle name="Normal" xfId="0" builtinId="0"/>
    <cellStyle name="Titulo" xfId="1" xr:uid="{6C05264C-0BE6-4A0A-8736-EE8F02B33B4E}"/>
  </cellStyles>
  <dxfs count="0"/>
  <tableStyles count="0" defaultTableStyle="TableStyleMedium9" defaultPivotStyle="PivotStyleLight16"/>
  <colors>
    <mruColors>
      <color rgb="FFFFCC00"/>
      <color rgb="FFFFFFCC"/>
      <color rgb="FFFF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18EE8A-D3D9-4BF1-85EE-B910D036D133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F22-AD63-4489-813F-F90A2AB8CBBE}">
  <dimension ref="A1:F39"/>
  <sheetViews>
    <sheetView showGridLines="0" zoomScale="85" workbookViewId="0">
      <selection activeCell="H31" sqref="H31"/>
    </sheetView>
  </sheetViews>
  <sheetFormatPr defaultRowHeight="14.5" x14ac:dyDescent="0.35"/>
  <cols>
    <col min="1" max="1" width="12.08984375" customWidth="1"/>
    <col min="2" max="3" width="11.54296875" customWidth="1"/>
    <col min="4" max="4" width="17.6328125" customWidth="1"/>
    <col min="8" max="8" width="15.6328125" customWidth="1"/>
    <col min="14" max="14" width="17.81640625" customWidth="1"/>
  </cols>
  <sheetData>
    <row r="1" spans="1:6" ht="15" thickBot="1" x14ac:dyDescent="0.4">
      <c r="A1" s="2" t="s">
        <v>0</v>
      </c>
      <c r="B1" s="2" t="s">
        <v>1</v>
      </c>
      <c r="C1" s="2" t="s">
        <v>36</v>
      </c>
      <c r="D1" s="2" t="s">
        <v>2</v>
      </c>
      <c r="F1" s="1"/>
    </row>
    <row r="2" spans="1:6" ht="22" customHeight="1" x14ac:dyDescent="0.35">
      <c r="A2" s="3" t="s">
        <v>3</v>
      </c>
      <c r="B2" s="4">
        <v>45747</v>
      </c>
      <c r="C2" s="12">
        <f t="shared" ref="C2:C34" si="0">YEARFRAC($B$2,B2)</f>
        <v>0</v>
      </c>
      <c r="D2" s="5">
        <v>1</v>
      </c>
      <c r="F2" s="1"/>
    </row>
    <row r="3" spans="1:6" x14ac:dyDescent="0.35">
      <c r="A3" s="6" t="s">
        <v>4</v>
      </c>
      <c r="B3" s="7">
        <v>45748</v>
      </c>
      <c r="C3" s="13">
        <f t="shared" si="0"/>
        <v>2.7777777777777779E-3</v>
      </c>
      <c r="D3" s="8">
        <v>0.99987751500441202</v>
      </c>
    </row>
    <row r="4" spans="1:6" x14ac:dyDescent="0.35">
      <c r="A4" s="6" t="s">
        <v>5</v>
      </c>
      <c r="B4" s="7">
        <v>45756</v>
      </c>
      <c r="C4" s="13">
        <f t="shared" si="0"/>
        <v>2.5000000000000001E-2</v>
      </c>
      <c r="D4" s="8">
        <v>0.99891732382446796</v>
      </c>
    </row>
    <row r="5" spans="1:6" x14ac:dyDescent="0.35">
      <c r="A5" s="6" t="s">
        <v>6</v>
      </c>
      <c r="B5" s="7">
        <v>45763</v>
      </c>
      <c r="C5" s="13">
        <f t="shared" si="0"/>
        <v>4.4444444444444446E-2</v>
      </c>
      <c r="D5" s="8">
        <v>0.998081254597594</v>
      </c>
    </row>
    <row r="6" spans="1:6" x14ac:dyDescent="0.35">
      <c r="A6" s="6" t="s">
        <v>7</v>
      </c>
      <c r="B6" s="7">
        <v>45779</v>
      </c>
      <c r="C6" s="13">
        <f t="shared" si="0"/>
        <v>8.8888888888888892E-2</v>
      </c>
      <c r="D6" s="8">
        <v>0.99617030425906605</v>
      </c>
    </row>
    <row r="7" spans="1:6" x14ac:dyDescent="0.35">
      <c r="A7" s="6" t="s">
        <v>8</v>
      </c>
      <c r="B7" s="7">
        <v>45810</v>
      </c>
      <c r="C7" s="13">
        <f t="shared" si="0"/>
        <v>0.17222222222222222</v>
      </c>
      <c r="D7" s="8">
        <v>0.99251318370949804</v>
      </c>
    </row>
    <row r="8" spans="1:6" x14ac:dyDescent="0.35">
      <c r="A8" s="6" t="s">
        <v>9</v>
      </c>
      <c r="B8" s="7">
        <v>45840</v>
      </c>
      <c r="C8" s="13">
        <f t="shared" si="0"/>
        <v>0.25555555555555554</v>
      </c>
      <c r="D8" s="8">
        <v>0.98903748024643601</v>
      </c>
    </row>
    <row r="9" spans="1:6" x14ac:dyDescent="0.35">
      <c r="A9" s="6" t="s">
        <v>10</v>
      </c>
      <c r="B9" s="7">
        <v>45873</v>
      </c>
      <c r="C9" s="13">
        <f t="shared" si="0"/>
        <v>0.34444444444444444</v>
      </c>
      <c r="D9" s="8">
        <v>0.98533045478676395</v>
      </c>
    </row>
    <row r="10" spans="1:6" x14ac:dyDescent="0.35">
      <c r="A10" s="6" t="s">
        <v>11</v>
      </c>
      <c r="B10" s="7">
        <v>45902</v>
      </c>
      <c r="C10" s="13">
        <f t="shared" si="0"/>
        <v>0.42222222222222222</v>
      </c>
      <c r="D10" s="8">
        <v>0.98215615626461705</v>
      </c>
    </row>
    <row r="11" spans="1:6" x14ac:dyDescent="0.35">
      <c r="A11" s="6" t="s">
        <v>12</v>
      </c>
      <c r="B11" s="7">
        <v>45932</v>
      </c>
      <c r="C11" s="13">
        <f t="shared" si="0"/>
        <v>0.50555555555555554</v>
      </c>
      <c r="D11" s="8">
        <v>0.97894560226857297</v>
      </c>
    </row>
    <row r="12" spans="1:6" x14ac:dyDescent="0.35">
      <c r="A12" s="6" t="s">
        <v>13</v>
      </c>
      <c r="B12" s="7">
        <v>45964</v>
      </c>
      <c r="C12" s="13">
        <f t="shared" si="0"/>
        <v>0.59166666666666667</v>
      </c>
      <c r="D12" s="8">
        <v>0.97562129083676297</v>
      </c>
    </row>
    <row r="13" spans="1:6" x14ac:dyDescent="0.35">
      <c r="A13" s="6" t="s">
        <v>14</v>
      </c>
      <c r="B13" s="7">
        <v>45993</v>
      </c>
      <c r="C13" s="13">
        <f t="shared" si="0"/>
        <v>0.67222222222222228</v>
      </c>
      <c r="D13" s="8">
        <v>0.97267103342220795</v>
      </c>
    </row>
    <row r="14" spans="1:6" x14ac:dyDescent="0.35">
      <c r="A14" s="6" t="s">
        <v>15</v>
      </c>
      <c r="B14" s="7">
        <v>46024</v>
      </c>
      <c r="C14" s="13">
        <f t="shared" si="0"/>
        <v>0.75555555555555554</v>
      </c>
      <c r="D14" s="8">
        <v>0.96959667414044204</v>
      </c>
    </row>
    <row r="15" spans="1:6" x14ac:dyDescent="0.35">
      <c r="A15" s="6" t="s">
        <v>16</v>
      </c>
      <c r="B15" s="7">
        <v>46055</v>
      </c>
      <c r="C15" s="13">
        <f t="shared" si="0"/>
        <v>0.83888888888888891</v>
      </c>
      <c r="D15" s="8">
        <v>0.96656865757023203</v>
      </c>
    </row>
    <row r="16" spans="1:6" x14ac:dyDescent="0.35">
      <c r="A16" s="6" t="s">
        <v>17</v>
      </c>
      <c r="B16" s="7">
        <v>46083</v>
      </c>
      <c r="C16" s="13">
        <f t="shared" si="0"/>
        <v>0.92222222222222228</v>
      </c>
      <c r="D16" s="8">
        <v>0.96388291060902898</v>
      </c>
    </row>
    <row r="17" spans="1:4" x14ac:dyDescent="0.35">
      <c r="A17" s="6" t="s">
        <v>18</v>
      </c>
      <c r="B17" s="7">
        <v>46114</v>
      </c>
      <c r="C17" s="13">
        <f t="shared" si="0"/>
        <v>1.0055555555555555</v>
      </c>
      <c r="D17" s="8">
        <v>0.96094559315518302</v>
      </c>
    </row>
    <row r="18" spans="1:4" x14ac:dyDescent="0.35">
      <c r="A18" s="6" t="s">
        <v>19</v>
      </c>
      <c r="B18" s="7">
        <v>46297</v>
      </c>
      <c r="C18" s="13">
        <f t="shared" si="0"/>
        <v>1.5055555555555555</v>
      </c>
      <c r="D18" s="8">
        <v>0.94424848340128098</v>
      </c>
    </row>
    <row r="19" spans="1:4" x14ac:dyDescent="0.35">
      <c r="A19" s="6" t="s">
        <v>20</v>
      </c>
      <c r="B19" s="7">
        <v>46479</v>
      </c>
      <c r="C19" s="13">
        <f t="shared" si="0"/>
        <v>2.0055555555555555</v>
      </c>
      <c r="D19" s="8">
        <v>0.92812409323377798</v>
      </c>
    </row>
    <row r="20" spans="1:4" x14ac:dyDescent="0.35">
      <c r="A20" s="6" t="s">
        <v>21</v>
      </c>
      <c r="B20" s="7">
        <v>46846</v>
      </c>
      <c r="C20" s="13">
        <f t="shared" si="0"/>
        <v>3.0083333333333333</v>
      </c>
      <c r="D20" s="8">
        <v>0.89587643435548003</v>
      </c>
    </row>
    <row r="21" spans="1:4" x14ac:dyDescent="0.35">
      <c r="A21" s="6" t="s">
        <v>22</v>
      </c>
      <c r="B21" s="7">
        <v>47210</v>
      </c>
      <c r="C21" s="13">
        <f t="shared" si="0"/>
        <v>4.0055555555555555</v>
      </c>
      <c r="D21" s="8">
        <v>0.86413933739458304</v>
      </c>
    </row>
    <row r="22" spans="1:4" x14ac:dyDescent="0.35">
      <c r="A22" s="6" t="s">
        <v>23</v>
      </c>
      <c r="B22" s="7">
        <v>47575</v>
      </c>
      <c r="C22" s="13">
        <f t="shared" si="0"/>
        <v>5.0055555555555555</v>
      </c>
      <c r="D22" s="8">
        <v>0.83269140058128799</v>
      </c>
    </row>
    <row r="23" spans="1:4" x14ac:dyDescent="0.35">
      <c r="A23" s="6" t="s">
        <v>24</v>
      </c>
      <c r="B23" s="7">
        <v>47940</v>
      </c>
      <c r="C23" s="13">
        <f t="shared" si="0"/>
        <v>6.0055555555555555</v>
      </c>
      <c r="D23" s="8">
        <v>0.801569300381754</v>
      </c>
    </row>
    <row r="24" spans="1:4" x14ac:dyDescent="0.35">
      <c r="A24" s="6" t="s">
        <v>25</v>
      </c>
      <c r="B24" s="7">
        <v>48306</v>
      </c>
      <c r="C24" s="13">
        <f t="shared" si="0"/>
        <v>7.0055555555555555</v>
      </c>
      <c r="D24" s="8">
        <v>0.77107444544169201</v>
      </c>
    </row>
    <row r="25" spans="1:4" x14ac:dyDescent="0.35">
      <c r="A25" s="6" t="s">
        <v>26</v>
      </c>
      <c r="B25" s="7">
        <v>48673</v>
      </c>
      <c r="C25" s="13">
        <f t="shared" si="0"/>
        <v>8.0111111111111111</v>
      </c>
      <c r="D25" s="8">
        <v>0.74127600773351998</v>
      </c>
    </row>
    <row r="26" spans="1:4" x14ac:dyDescent="0.35">
      <c r="A26" s="6" t="s">
        <v>27</v>
      </c>
      <c r="B26" s="7">
        <v>49037</v>
      </c>
      <c r="C26" s="13">
        <f t="shared" si="0"/>
        <v>9.0083333333333329</v>
      </c>
      <c r="D26" s="8">
        <v>0.71250077016743296</v>
      </c>
    </row>
    <row r="27" spans="1:4" x14ac:dyDescent="0.35">
      <c r="A27" s="6" t="s">
        <v>28</v>
      </c>
      <c r="B27" s="7">
        <v>49401</v>
      </c>
      <c r="C27" s="13">
        <f t="shared" si="0"/>
        <v>10.005555555555556</v>
      </c>
      <c r="D27" s="8">
        <v>0.68438301624348596</v>
      </c>
    </row>
    <row r="28" spans="1:4" x14ac:dyDescent="0.35">
      <c r="A28" s="6" t="s">
        <v>29</v>
      </c>
      <c r="B28" s="7">
        <v>50132</v>
      </c>
      <c r="C28" s="13">
        <f t="shared" si="0"/>
        <v>12.005555555555556</v>
      </c>
      <c r="D28" s="8">
        <v>0.63013234136521201</v>
      </c>
    </row>
    <row r="29" spans="1:4" x14ac:dyDescent="0.35">
      <c r="A29" s="6" t="s">
        <v>30</v>
      </c>
      <c r="B29" s="7">
        <v>51228</v>
      </c>
      <c r="C29" s="13">
        <f t="shared" si="0"/>
        <v>15.005555555555556</v>
      </c>
      <c r="D29" s="8">
        <v>0.55573133390597196</v>
      </c>
    </row>
    <row r="30" spans="1:4" x14ac:dyDescent="0.35">
      <c r="A30" s="6" t="s">
        <v>31</v>
      </c>
      <c r="B30" s="7">
        <v>53055</v>
      </c>
      <c r="C30" s="13">
        <f t="shared" si="0"/>
        <v>20.008333333333333</v>
      </c>
      <c r="D30" s="8">
        <v>0.45401860455470899</v>
      </c>
    </row>
    <row r="31" spans="1:4" x14ac:dyDescent="0.35">
      <c r="A31" s="6" t="s">
        <v>32</v>
      </c>
      <c r="B31" s="7">
        <v>54882</v>
      </c>
      <c r="C31" s="13">
        <f t="shared" si="0"/>
        <v>25.011111111111113</v>
      </c>
      <c r="D31" s="8">
        <v>0.37911623416725299</v>
      </c>
    </row>
    <row r="32" spans="1:4" x14ac:dyDescent="0.35">
      <c r="A32" s="6" t="s">
        <v>33</v>
      </c>
      <c r="B32" s="7">
        <v>56706</v>
      </c>
      <c r="C32" s="13">
        <f t="shared" si="0"/>
        <v>30.005555555555556</v>
      </c>
      <c r="D32" s="8">
        <v>0.32307063288406901</v>
      </c>
    </row>
    <row r="33" spans="1:4" x14ac:dyDescent="0.35">
      <c r="A33" s="6" t="s">
        <v>34</v>
      </c>
      <c r="B33" s="7">
        <v>60359</v>
      </c>
      <c r="C33" s="13">
        <f t="shared" si="0"/>
        <v>40.005555555555553</v>
      </c>
      <c r="D33" s="8">
        <v>0.249529576361148</v>
      </c>
    </row>
    <row r="34" spans="1:4" x14ac:dyDescent="0.35">
      <c r="A34" s="6" t="s">
        <v>35</v>
      </c>
      <c r="B34" s="7">
        <v>64011</v>
      </c>
      <c r="C34" s="13">
        <f t="shared" si="0"/>
        <v>50.005555555555553</v>
      </c>
      <c r="D34" s="8">
        <v>0.21055920983687401</v>
      </c>
    </row>
    <row r="35" spans="1:4" x14ac:dyDescent="0.35">
      <c r="A35" s="6"/>
      <c r="B35" s="7"/>
      <c r="C35" s="13"/>
      <c r="D35" s="8"/>
    </row>
    <row r="36" spans="1:4" x14ac:dyDescent="0.35">
      <c r="A36" s="6"/>
      <c r="B36" s="7"/>
      <c r="C36" s="13"/>
      <c r="D36" s="8"/>
    </row>
    <row r="37" spans="1:4" x14ac:dyDescent="0.35">
      <c r="A37" s="6"/>
      <c r="B37" s="7"/>
      <c r="C37" s="13"/>
      <c r="D37" s="8"/>
    </row>
    <row r="38" spans="1:4" x14ac:dyDescent="0.35">
      <c r="A38" s="6"/>
      <c r="B38" s="7"/>
      <c r="C38" s="13"/>
      <c r="D38" s="8"/>
    </row>
    <row r="39" spans="1:4" ht="15" thickBot="1" x14ac:dyDescent="0.4">
      <c r="A39" s="9"/>
      <c r="B39" s="10"/>
      <c r="C39" s="14"/>
      <c r="D39" s="11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7BC0-7B28-4DC3-A38A-D3AB47DED492}">
  <dimension ref="A1:P13"/>
  <sheetViews>
    <sheetView showGridLines="0" tabSelected="1" workbookViewId="0">
      <selection activeCell="E16" sqref="E16"/>
    </sheetView>
  </sheetViews>
  <sheetFormatPr defaultRowHeight="14.5" x14ac:dyDescent="0.35"/>
  <cols>
    <col min="1" max="1" width="8.81640625" bestFit="1" customWidth="1"/>
    <col min="2" max="3" width="8.81640625" customWidth="1"/>
    <col min="4" max="4" width="14.26953125" customWidth="1"/>
    <col min="5" max="5" width="17.08984375" customWidth="1"/>
    <col min="6" max="45" width="8.81640625" bestFit="1" customWidth="1"/>
  </cols>
  <sheetData>
    <row r="1" spans="1:16" ht="15" thickBot="1" x14ac:dyDescent="0.4">
      <c r="A1" s="27" t="s">
        <v>41</v>
      </c>
      <c r="B1" s="27" t="s">
        <v>42</v>
      </c>
      <c r="C1" s="27" t="s">
        <v>40</v>
      </c>
      <c r="D1" s="27" t="s">
        <v>38</v>
      </c>
      <c r="E1" s="27" t="s">
        <v>39</v>
      </c>
      <c r="F1" s="27" t="s">
        <v>37</v>
      </c>
    </row>
    <row r="2" spans="1:16" ht="15" thickBot="1" x14ac:dyDescent="0.4">
      <c r="A2" s="18">
        <v>1</v>
      </c>
      <c r="B2" s="22">
        <v>2</v>
      </c>
      <c r="C2" s="22">
        <v>3.5089000000000001</v>
      </c>
      <c r="D2" s="23">
        <v>10000000</v>
      </c>
      <c r="E2" s="16">
        <v>83558.48</v>
      </c>
      <c r="F2" s="20" cm="1">
        <f t="array" ref="F2:H2">TRANSPOSE(_xlfn.SEQUENCE(B2+1,,A2,1))</f>
        <v>1</v>
      </c>
      <c r="G2" s="20">
        <v>2</v>
      </c>
      <c r="H2" s="21">
        <v>3</v>
      </c>
      <c r="I2" s="19"/>
      <c r="J2" s="19"/>
      <c r="K2" s="19"/>
      <c r="L2" s="19"/>
      <c r="M2" s="19"/>
      <c r="N2" s="19"/>
      <c r="O2" s="19"/>
    </row>
    <row r="3" spans="1:16" ht="15" thickBot="1" x14ac:dyDescent="0.4">
      <c r="A3" s="18">
        <v>2</v>
      </c>
      <c r="B3" s="22">
        <v>2</v>
      </c>
      <c r="C3" s="22">
        <v>3.5802</v>
      </c>
      <c r="D3" s="23">
        <v>10000000</v>
      </c>
      <c r="E3" s="16">
        <v>111024.78</v>
      </c>
      <c r="F3" s="20" cm="1">
        <f t="array" ref="F3:H3">TRANSPOSE(_xlfn.SEQUENCE(B3+1,,A3,1))</f>
        <v>2</v>
      </c>
      <c r="G3" s="20">
        <v>3</v>
      </c>
      <c r="H3" s="21">
        <v>4</v>
      </c>
      <c r="I3" s="19"/>
      <c r="J3" s="19"/>
      <c r="K3" s="19"/>
      <c r="L3" s="19"/>
      <c r="M3" s="19"/>
      <c r="N3" s="19"/>
      <c r="O3" s="19"/>
    </row>
    <row r="4" spans="1:16" ht="15" thickBot="1" x14ac:dyDescent="0.4">
      <c r="A4" s="18">
        <v>5</v>
      </c>
      <c r="B4" s="22">
        <v>2</v>
      </c>
      <c r="C4" s="26">
        <v>3.859</v>
      </c>
      <c r="D4" s="23">
        <v>10000000</v>
      </c>
      <c r="E4" s="16">
        <v>142999.47</v>
      </c>
      <c r="F4" s="20" cm="1">
        <f t="array" ref="F4:H4">TRANSPOSE(_xlfn.SEQUENCE(B4+1,,A4,1))</f>
        <v>5</v>
      </c>
      <c r="G4" s="20">
        <v>6</v>
      </c>
      <c r="H4" s="21">
        <v>7</v>
      </c>
      <c r="I4" s="19"/>
      <c r="J4" s="19"/>
      <c r="K4" s="19"/>
      <c r="L4" s="19"/>
      <c r="M4" s="19"/>
      <c r="N4" s="19"/>
      <c r="O4" s="19"/>
    </row>
    <row r="5" spans="1:16" ht="15" thickBot="1" x14ac:dyDescent="0.4">
      <c r="A5" s="3">
        <v>10</v>
      </c>
      <c r="B5" s="24">
        <v>2</v>
      </c>
      <c r="C5" s="24">
        <v>4.1515000000000004</v>
      </c>
      <c r="D5" s="25">
        <v>10000000</v>
      </c>
      <c r="E5" s="15">
        <v>150298.81</v>
      </c>
      <c r="F5" s="12" cm="1">
        <f t="array" ref="F5:H5">TRANSPOSE(_xlfn.SEQUENCE(B5+1,,A5,1))</f>
        <v>10</v>
      </c>
      <c r="G5" s="12">
        <v>11</v>
      </c>
      <c r="H5" s="17">
        <v>12</v>
      </c>
      <c r="I5" s="19"/>
      <c r="J5" s="19"/>
      <c r="K5" s="19"/>
      <c r="L5" s="19"/>
      <c r="M5" s="19"/>
      <c r="N5" s="19"/>
      <c r="O5" s="19"/>
    </row>
    <row r="6" spans="1:16" ht="15" thickBot="1" x14ac:dyDescent="0.4">
      <c r="A6" s="18">
        <v>1</v>
      </c>
      <c r="B6" s="22">
        <v>5</v>
      </c>
      <c r="C6" s="22">
        <v>3.6343999999999999</v>
      </c>
      <c r="D6" s="23">
        <v>10000000</v>
      </c>
      <c r="E6" s="16">
        <v>185909.43</v>
      </c>
      <c r="F6" s="20" cm="1">
        <f t="array" ref="F6:K6">TRANSPOSE(_xlfn.SEQUENCE(B6+1,,A6,1))</f>
        <v>1</v>
      </c>
      <c r="G6" s="20">
        <v>2</v>
      </c>
      <c r="H6" s="20">
        <v>3</v>
      </c>
      <c r="I6" s="20">
        <v>4</v>
      </c>
      <c r="J6" s="20">
        <v>5</v>
      </c>
      <c r="K6" s="21">
        <v>6</v>
      </c>
      <c r="L6" s="19"/>
      <c r="M6" s="19"/>
      <c r="N6" s="19"/>
      <c r="O6" s="19"/>
    </row>
    <row r="7" spans="1:16" ht="15" thickBot="1" x14ac:dyDescent="0.4">
      <c r="A7" s="18">
        <v>2</v>
      </c>
      <c r="B7" s="22">
        <v>5</v>
      </c>
      <c r="C7" s="22">
        <v>3.7143000000000002</v>
      </c>
      <c r="D7" s="23">
        <v>10000000</v>
      </c>
      <c r="E7" s="16">
        <v>246710.98</v>
      </c>
      <c r="F7" s="20" cm="1">
        <f t="array" ref="F7:K7">TRANSPOSE(_xlfn.SEQUENCE(B7+1,,A7,1))</f>
        <v>2</v>
      </c>
      <c r="G7" s="20">
        <v>3</v>
      </c>
      <c r="H7" s="20">
        <v>4</v>
      </c>
      <c r="I7" s="20">
        <v>5</v>
      </c>
      <c r="J7" s="20">
        <v>6</v>
      </c>
      <c r="K7" s="21">
        <v>7</v>
      </c>
      <c r="L7" s="19"/>
      <c r="M7" s="19"/>
      <c r="N7" s="19"/>
      <c r="O7" s="19"/>
    </row>
    <row r="8" spans="1:16" ht="15" thickBot="1" x14ac:dyDescent="0.4">
      <c r="A8" s="18">
        <v>5</v>
      </c>
      <c r="B8" s="22">
        <v>5</v>
      </c>
      <c r="C8" s="22">
        <v>3.9392</v>
      </c>
      <c r="D8" s="23">
        <v>10000000</v>
      </c>
      <c r="E8" s="16">
        <v>325486.96000000002</v>
      </c>
      <c r="F8" s="20" cm="1">
        <f t="array" ref="F8:K8">TRANSPOSE(_xlfn.SEQUENCE(B8+1,,A8,1))</f>
        <v>5</v>
      </c>
      <c r="G8" s="20">
        <v>6</v>
      </c>
      <c r="H8" s="20">
        <v>7</v>
      </c>
      <c r="I8" s="20">
        <v>8</v>
      </c>
      <c r="J8" s="20">
        <v>9</v>
      </c>
      <c r="K8" s="21">
        <v>10</v>
      </c>
      <c r="L8" s="19"/>
      <c r="M8" s="19"/>
      <c r="N8" s="19"/>
      <c r="O8" s="19"/>
    </row>
    <row r="9" spans="1:16" ht="15" thickBot="1" x14ac:dyDescent="0.4">
      <c r="A9" s="3">
        <v>10</v>
      </c>
      <c r="B9" s="24">
        <v>5</v>
      </c>
      <c r="C9" s="24">
        <v>4.1872999999999996</v>
      </c>
      <c r="D9" s="25">
        <v>10000000</v>
      </c>
      <c r="E9" s="15">
        <v>343804.47</v>
      </c>
      <c r="F9" s="12" cm="1">
        <f t="array" ref="F9:K9">TRANSPOSE(_xlfn.SEQUENCE(B9+1,,A9,1))</f>
        <v>10</v>
      </c>
      <c r="G9" s="12">
        <v>11</v>
      </c>
      <c r="H9" s="12">
        <v>12</v>
      </c>
      <c r="I9" s="12">
        <v>13</v>
      </c>
      <c r="J9" s="12">
        <v>14</v>
      </c>
      <c r="K9" s="17">
        <v>15</v>
      </c>
      <c r="L9" s="19"/>
      <c r="M9" s="19"/>
      <c r="N9" s="19"/>
      <c r="O9" s="19"/>
    </row>
    <row r="10" spans="1:16" ht="15" thickBot="1" x14ac:dyDescent="0.4">
      <c r="A10" s="18">
        <v>1</v>
      </c>
      <c r="B10" s="22">
        <v>10</v>
      </c>
      <c r="C10" s="22">
        <v>3.7991000000000001</v>
      </c>
      <c r="D10" s="23">
        <v>10000000</v>
      </c>
      <c r="E10" s="16">
        <v>318227.24</v>
      </c>
      <c r="F10" s="20" cm="1">
        <f t="array" ref="F10:P10">TRANSPOSE(_xlfn.SEQUENCE(B10+1,,A10,1))</f>
        <v>1</v>
      </c>
      <c r="G10" s="20">
        <v>2</v>
      </c>
      <c r="H10" s="20">
        <v>3</v>
      </c>
      <c r="I10" s="20">
        <v>4</v>
      </c>
      <c r="J10" s="20">
        <v>5</v>
      </c>
      <c r="K10" s="20">
        <v>6</v>
      </c>
      <c r="L10" s="20">
        <v>7</v>
      </c>
      <c r="M10" s="20">
        <v>8</v>
      </c>
      <c r="N10" s="20">
        <v>9</v>
      </c>
      <c r="O10" s="20">
        <v>10</v>
      </c>
      <c r="P10" s="21">
        <v>11</v>
      </c>
    </row>
    <row r="11" spans="1:16" ht="15" thickBot="1" x14ac:dyDescent="0.4">
      <c r="A11" s="18">
        <v>2</v>
      </c>
      <c r="B11" s="22">
        <v>10</v>
      </c>
      <c r="C11" s="26">
        <v>3.8683999999999998</v>
      </c>
      <c r="D11" s="23">
        <v>10000000</v>
      </c>
      <c r="E11" s="16">
        <v>425576.71</v>
      </c>
      <c r="F11" s="20" cm="1">
        <f t="array" ref="F11:P11">TRANSPOSE(_xlfn.SEQUENCE(B11+1,,A11,1))</f>
        <v>2</v>
      </c>
      <c r="G11" s="20">
        <v>3</v>
      </c>
      <c r="H11" s="20">
        <v>4</v>
      </c>
      <c r="I11" s="20">
        <v>5</v>
      </c>
      <c r="J11" s="20">
        <v>6</v>
      </c>
      <c r="K11" s="20">
        <v>7</v>
      </c>
      <c r="L11" s="20">
        <v>8</v>
      </c>
      <c r="M11" s="20">
        <v>9</v>
      </c>
      <c r="N11" s="20">
        <v>10</v>
      </c>
      <c r="O11" s="20">
        <v>11</v>
      </c>
      <c r="P11" s="21">
        <v>12</v>
      </c>
    </row>
    <row r="12" spans="1:16" ht="15" thickBot="1" x14ac:dyDescent="0.4">
      <c r="A12" s="18">
        <v>5</v>
      </c>
      <c r="B12" s="22">
        <v>10</v>
      </c>
      <c r="C12" s="22">
        <v>4.0507</v>
      </c>
      <c r="D12" s="23">
        <v>10000000</v>
      </c>
      <c r="E12" s="16">
        <v>567323.31000000006</v>
      </c>
      <c r="F12" s="20" cm="1">
        <f t="array" ref="F12:P12">TRANSPOSE(_xlfn.SEQUENCE(B12+1,,A12,1))</f>
        <v>5</v>
      </c>
      <c r="G12" s="20">
        <v>6</v>
      </c>
      <c r="H12" s="20">
        <v>7</v>
      </c>
      <c r="I12" s="20">
        <v>8</v>
      </c>
      <c r="J12" s="20">
        <v>9</v>
      </c>
      <c r="K12" s="20">
        <v>10</v>
      </c>
      <c r="L12" s="20">
        <v>11</v>
      </c>
      <c r="M12" s="20">
        <v>12</v>
      </c>
      <c r="N12" s="20">
        <v>13</v>
      </c>
      <c r="O12" s="20">
        <v>14</v>
      </c>
      <c r="P12" s="21">
        <v>15</v>
      </c>
    </row>
    <row r="13" spans="1:16" ht="15" thickBot="1" x14ac:dyDescent="0.4">
      <c r="A13" s="18">
        <v>10</v>
      </c>
      <c r="B13" s="22">
        <v>10</v>
      </c>
      <c r="C13" s="22">
        <v>4.1334</v>
      </c>
      <c r="D13" s="23">
        <v>10000000</v>
      </c>
      <c r="E13" s="16">
        <v>595953.30000000005</v>
      </c>
      <c r="F13" s="20" cm="1">
        <f t="array" ref="F13:P13">TRANSPOSE(_xlfn.SEQUENCE(B13+1,,A13,1))</f>
        <v>10</v>
      </c>
      <c r="G13" s="20">
        <v>11</v>
      </c>
      <c r="H13" s="20">
        <v>12</v>
      </c>
      <c r="I13" s="20">
        <v>13</v>
      </c>
      <c r="J13" s="20">
        <v>14</v>
      </c>
      <c r="K13" s="20">
        <v>15</v>
      </c>
      <c r="L13" s="20">
        <v>16</v>
      </c>
      <c r="M13" s="20">
        <v>17</v>
      </c>
      <c r="N13" s="20">
        <v>18</v>
      </c>
      <c r="O13" s="20">
        <v>19</v>
      </c>
      <c r="P13" s="21">
        <v>20</v>
      </c>
    </row>
  </sheetData>
  <sortState xmlns:xlrd2="http://schemas.microsoft.com/office/spreadsheetml/2017/richdata2" ref="A2:O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Marchesi Selma</dc:creator>
  <cp:lastModifiedBy>Pablo Marchesi Selma</cp:lastModifiedBy>
  <dcterms:created xsi:type="dcterms:W3CDTF">2025-05-07T08:52:46Z</dcterms:created>
  <dcterms:modified xsi:type="dcterms:W3CDTF">2025-09-11T08:39:30Z</dcterms:modified>
</cp:coreProperties>
</file>