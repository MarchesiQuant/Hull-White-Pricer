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pablo_marchesi_selma_es_ey_com/Documents/Desktop/Calculadoras/Hull-White-Pricer/"/>
    </mc:Choice>
  </mc:AlternateContent>
  <xr:revisionPtr revIDLastSave="290" documentId="8_{00F85499-E803-408C-8FFB-B6A833A2FC2B}" xr6:coauthVersionLast="47" xr6:coauthVersionMax="47" xr10:uidLastSave="{2FED94A2-9A47-44B0-B798-CA097021B89E}"/>
  <bookViews>
    <workbookView xWindow="-110" yWindow="-110" windowWidth="19420" windowHeight="11500" activeTab="1" xr2:uid="{00000000-000D-0000-FFFF-FFFF00000000}"/>
  </bookViews>
  <sheets>
    <sheet name="Curve" sheetId="2" r:id="rId1"/>
    <sheet name="Template" sheetId="3" r:id="rId2"/>
    <sheet name="CAP0" sheetId="11" r:id="rId3"/>
    <sheet name="CAP1" sheetId="4" r:id="rId4"/>
    <sheet name="CAP2" sheetId="6" r:id="rId5"/>
    <sheet name="CAP3" sheetId="7" r:id="rId6"/>
    <sheet name="CAP4" sheetId="8" r:id="rId7"/>
    <sheet name="CAP5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2" i="3"/>
  <c r="J3" i="11"/>
  <c r="F2" i="3" a="1"/>
  <c r="F2" i="3" s="1"/>
  <c r="D2" i="3"/>
  <c r="A2" i="3"/>
  <c r="J4" i="4"/>
  <c r="J5" i="4"/>
  <c r="D6" i="3"/>
  <c r="C6" i="3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D5" i="3"/>
  <c r="C5" i="3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D4" i="3"/>
  <c r="C4" i="3"/>
  <c r="J3" i="7"/>
  <c r="J4" i="7"/>
  <c r="A4" i="3" s="1"/>
  <c r="J5" i="7"/>
  <c r="J6" i="7"/>
  <c r="J7" i="7"/>
  <c r="J8" i="7"/>
  <c r="J9" i="7"/>
  <c r="J10" i="7"/>
  <c r="J11" i="7"/>
  <c r="D3" i="3"/>
  <c r="C3" i="3"/>
  <c r="C2" i="3"/>
  <c r="J3" i="6"/>
  <c r="F3" i="3" s="1" a="1"/>
  <c r="F3" i="3" s="1"/>
  <c r="J4" i="6"/>
  <c r="J5" i="6"/>
  <c r="J6" i="6"/>
  <c r="J7" i="6"/>
  <c r="J3" i="4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E2" i="3" l="1"/>
  <c r="E3" i="3"/>
  <c r="F4" i="3" a="1"/>
  <c r="F6" i="3" a="1"/>
  <c r="F5" i="3" a="1"/>
  <c r="A6" i="3"/>
  <c r="A3" i="3"/>
  <c r="A5" i="3"/>
  <c r="F5" i="3" l="1"/>
  <c r="E5" i="3"/>
  <c r="F6" i="3"/>
  <c r="E6" i="3"/>
  <c r="F4" i="3"/>
  <c r="E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<sst xmlns="http://schemas.openxmlformats.org/spreadsheetml/2006/main" count="101" uniqueCount="54">
  <si>
    <t>Tenor</t>
  </si>
  <si>
    <t>End Date</t>
  </si>
  <si>
    <t>Discount Factor</t>
  </si>
  <si>
    <t>0D</t>
  </si>
  <si>
    <t>1D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</si>
  <si>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</si>
  <si>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</si>
  <si>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</si>
  <si>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</si>
  <si>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</si>
  <si>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</si>
  <si>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</si>
  <si>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</si>
  <si>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</si>
  <si>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</si>
  <si>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</si>
  <si>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</si>
  <si>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</si>
  <si>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</si>
  <si>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</si>
  <si>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15M</t>
  </si>
  <si>
    <t>18M</t>
  </si>
  <si>
    <t>21M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</si>
  <si>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</si>
  <si>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</si>
  <si>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</si>
  <si>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</si>
  <si>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</si>
  <si>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</si>
  <si>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</si>
  <si>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</si>
  <si>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</si>
  <si>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</si>
  <si>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</si>
  <si>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15Y</t>
  </si>
  <si>
    <t>20Y</t>
  </si>
  <si>
    <t>25Y</t>
  </si>
  <si>
    <t>30Y</t>
  </si>
  <si>
    <t>40Y</t>
  </si>
  <si>
    <t>50Y</t>
  </si>
  <si>
    <t>60Y</t>
  </si>
  <si>
    <t>Year Frac.</t>
  </si>
  <si>
    <t>Start Date</t>
  </si>
  <si>
    <t>Pay Date</t>
  </si>
  <si>
    <t>Strike %</t>
  </si>
  <si>
    <t>ATM Strike %</t>
  </si>
  <si>
    <t>Vol bp</t>
  </si>
  <si>
    <t>Forward %</t>
  </si>
  <si>
    <t>Premium EUR</t>
  </si>
  <si>
    <t>Notional EUR</t>
  </si>
  <si>
    <t>Dates</t>
  </si>
  <si>
    <t>Notional</t>
  </si>
  <si>
    <t>Price</t>
  </si>
  <si>
    <t>Strike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</si>
</sst>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yyyy\-mm\-dd;@"/>
    <numFmt numFmtId="166" formatCode="0.0000"/>
    <numFmt numFmtId="167" formatCode="mmm\ d\,\ yyyy"/>
    <numFmt numFmtId="168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EYInterstate"/>
    </font>
    <font>
      <b/>
      <i/>
      <sz val="10"/>
      <color rgb="FF000000"/>
      <name val="EYInterstate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AE600"/>
        <bgColor rgb="FF000000"/>
      </patternFill>
    </fill>
    <fill>
      <patternFill patternType="solid">
        <fgColor rgb="FFFFF9E7"/>
        <bgColor rgb="FF000000"/>
      </patternFill>
    </fill>
    <fill>
      <patternFill patternType="gray125">
        <fgColor rgb="FF000000"/>
        <bgColor rgb="FFFAE600"/>
      </patternFill>
    </fill>
    <fill>
      <patternFill patternType="gray125">
        <fgColor rgb="FF000000"/>
        <bgColor rgb="FFFFF9E7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2" applyNumberFormat="0">
      <alignment horizontal="center" vertical="center" wrapText="1"/>
    </xf>
    <xf numFmtId="164" fontId="2" fillId="3" borderId="1" applyNumberFormat="0" applyBorder="0">
      <alignment horizontal="center" vertical="center"/>
    </xf>
    <xf numFmtId="9" fontId="4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0" fontId="3" fillId="2" borderId="2" xfId="1">
      <alignment horizontal="center" vertical="center" wrapText="1"/>
    </xf>
    <xf numFmtId="0" fontId="2" fillId="3" borderId="3" xfId="2" applyNumberFormat="1" applyBorder="1">
      <alignment horizontal="center" vertical="center"/>
    </xf>
    <xf numFmtId="165" fontId="2" fillId="3" borderId="4" xfId="2" applyNumberFormat="1" applyBorder="1">
      <alignment horizontal="center" vertical="center"/>
    </xf>
    <xf numFmtId="166" fontId="2" fillId="3" borderId="5" xfId="2" applyNumberFormat="1" applyBorder="1">
      <alignment horizontal="center" vertical="center"/>
    </xf>
    <xf numFmtId="0" fontId="2" fillId="3" borderId="6" xfId="2" applyNumberFormat="1" applyBorder="1">
      <alignment horizontal="center" vertical="center"/>
    </xf>
    <xf numFmtId="165" fontId="2" fillId="3" borderId="0" xfId="2" applyNumberFormat="1" applyBorder="1">
      <alignment horizontal="center" vertical="center"/>
    </xf>
    <xf numFmtId="166" fontId="2" fillId="3" borderId="7" xfId="2" applyNumberFormat="1" applyBorder="1">
      <alignment horizontal="center" vertical="center"/>
    </xf>
    <xf numFmtId="0" fontId="2" fillId="3" borderId="8" xfId="2" applyNumberFormat="1" applyBorder="1">
      <alignment horizontal="center" vertical="center"/>
    </xf>
    <xf numFmtId="165" fontId="2" fillId="3" borderId="9" xfId="2" applyNumberFormat="1" applyBorder="1">
      <alignment horizontal="center" vertical="center"/>
    </xf>
    <xf numFmtId="166" fontId="2" fillId="3" borderId="10" xfId="2" applyNumberFormat="1" applyBorder="1">
      <alignment horizontal="center" vertical="center"/>
    </xf>
    <xf numFmtId="2" fontId="2" fillId="3" borderId="4" xfId="2" applyNumberFormat="1" applyBorder="1">
      <alignment horizontal="center" vertical="center"/>
    </xf>
    <xf numFmtId="2" fontId="2" fillId="3" borderId="0" xfId="2" applyNumberFormat="1" applyBorder="1">
      <alignment horizontal="center" vertical="center"/>
    </xf>
    <xf numFmtId="2" fontId="2" fillId="3" borderId="9" xfId="2" applyNumberFormat="1" applyBorder="1">
      <alignment horizontal="center" vertical="center"/>
    </xf>
    <xf numFmtId="167" fontId="2" fillId="3" borderId="0" xfId="2" applyNumberFormat="1" applyBorder="1">
      <alignment horizontal="center" vertical="center"/>
    </xf>
    <xf numFmtId="4" fontId="2" fillId="3" borderId="0" xfId="2" applyNumberFormat="1" applyBorder="1">
      <alignment horizontal="center" vertical="center"/>
    </xf>
    <xf numFmtId="167" fontId="2" fillId="3" borderId="3" xfId="2" applyNumberFormat="1" applyBorder="1">
      <alignment horizontal="center" vertical="center"/>
    </xf>
    <xf numFmtId="167" fontId="2" fillId="3" borderId="4" xfId="2" applyNumberFormat="1" applyBorder="1">
      <alignment horizontal="center" vertical="center"/>
    </xf>
    <xf numFmtId="4" fontId="2" fillId="3" borderId="4" xfId="2" applyNumberFormat="1" applyBorder="1">
      <alignment horizontal="center" vertical="center"/>
    </xf>
    <xf numFmtId="4" fontId="2" fillId="3" borderId="5" xfId="2" applyNumberFormat="1" applyBorder="1">
      <alignment horizontal="center" vertical="center"/>
    </xf>
    <xf numFmtId="167" fontId="2" fillId="3" borderId="6" xfId="2" applyNumberFormat="1" applyBorder="1">
      <alignment horizontal="center" vertical="center"/>
    </xf>
    <xf numFmtId="4" fontId="2" fillId="3" borderId="7" xfId="2" applyNumberFormat="1" applyBorder="1">
      <alignment horizontal="center" vertical="center"/>
    </xf>
    <xf numFmtId="167" fontId="2" fillId="3" borderId="8" xfId="2" applyNumberFormat="1" applyBorder="1">
      <alignment horizontal="center" vertical="center"/>
    </xf>
    <xf numFmtId="167" fontId="2" fillId="3" borderId="9" xfId="2" applyNumberFormat="1" applyBorder="1">
      <alignment horizontal="center" vertical="center"/>
    </xf>
    <xf numFmtId="4" fontId="2" fillId="3" borderId="9" xfId="2" applyNumberFormat="1" applyBorder="1">
      <alignment horizontal="center" vertical="center"/>
    </xf>
    <xf numFmtId="4" fontId="2" fillId="3" borderId="10" xfId="2" applyNumberFormat="1" applyBorder="1">
      <alignment horizontal="center" vertical="center"/>
    </xf>
    <xf numFmtId="167" fontId="2" fillId="3" borderId="14" xfId="2" applyNumberFormat="1" applyBorder="1">
      <alignment horizontal="center" vertical="center"/>
    </xf>
    <xf numFmtId="167" fontId="2" fillId="3" borderId="15" xfId="2" applyNumberFormat="1" applyBorder="1">
      <alignment horizontal="center" vertical="center"/>
    </xf>
    <xf numFmtId="4" fontId="2" fillId="3" borderId="15" xfId="2" applyNumberFormat="1" applyBorder="1">
      <alignment horizontal="center" vertical="center"/>
    </xf>
    <xf numFmtId="2" fontId="2" fillId="3" borderId="5" xfId="2" applyNumberFormat="1" applyBorder="1">
      <alignment horizontal="center" vertical="center"/>
    </xf>
    <xf numFmtId="0" fontId="3" fillId="4" borderId="2" xfId="1" applyFill="1">
      <alignment horizontal="center" vertical="center" wrapText="1"/>
    </xf>
    <xf numFmtId="168" fontId="2" fillId="5" borderId="12" xfId="2" applyNumberFormat="1" applyFill="1" applyBorder="1">
      <alignment horizontal="center" vertical="center"/>
    </xf>
    <xf numFmtId="168" fontId="2" fillId="5" borderId="11" xfId="2" applyNumberFormat="1" applyFill="1" applyBorder="1">
      <alignment horizontal="center" vertical="center"/>
    </xf>
    <xf numFmtId="168" fontId="2" fillId="5" borderId="13" xfId="2" applyNumberFormat="1" applyFill="1" applyBorder="1">
      <alignment horizontal="center" vertical="center"/>
    </xf>
    <xf numFmtId="168" fontId="2" fillId="5" borderId="2" xfId="2" applyNumberFormat="1" applyFill="1" applyBorder="1">
      <alignment horizontal="center" vertical="center"/>
    </xf>
    <xf numFmtId="0" fontId="3" fillId="4" borderId="12" xfId="1" applyFill="1" applyBorder="1">
      <alignment horizontal="center" vertical="center" wrapText="1"/>
    </xf>
    <xf numFmtId="0" fontId="2" fillId="3" borderId="14" xfId="2" applyNumberFormat="1" applyBorder="1">
      <alignment horizontal="center" vertical="center"/>
    </xf>
    <xf numFmtId="1" fontId="2" fillId="3" borderId="3" xfId="2" applyNumberFormat="1" applyBorder="1">
      <alignment horizontal="center" vertical="center"/>
    </xf>
    <xf numFmtId="3" fontId="2" fillId="3" borderId="4" xfId="2" applyNumberFormat="1" applyBorder="1">
      <alignment horizontal="center" vertical="center"/>
    </xf>
    <xf numFmtId="3" fontId="2" fillId="3" borderId="15" xfId="2" applyNumberFormat="1" applyBorder="1">
      <alignment horizontal="center" vertical="center"/>
    </xf>
    <xf numFmtId="2" fontId="0" fillId="0" borderId="0" xfId="0" applyNumberFormat="1"/>
    <xf numFmtId="2" fontId="2" fillId="3" borderId="15" xfId="2" applyNumberFormat="1" applyBorder="1">
      <alignment horizontal="center" vertical="center"/>
    </xf>
    <xf numFmtId="2" fontId="2" fillId="3" borderId="16" xfId="2" applyNumberFormat="1" applyBorder="1">
      <alignment horizontal="center" vertical="center"/>
    </xf>
    <xf numFmtId="0" fontId="3" fillId="2" borderId="12" xfId="1" applyBorder="1">
      <alignment horizontal="center" vertical="center" wrapText="1"/>
    </xf>
    <xf numFmtId="3" fontId="2" fillId="3" borderId="0" xfId="2" applyNumberFormat="1" applyBorder="1">
      <alignment horizontal="center" vertical="center"/>
    </xf>
    <xf numFmtId="0" fontId="3" fillId="2" borderId="3" xfId="1" applyBorder="1">
      <alignment horizontal="center" vertical="center" wrapText="1"/>
    </xf>
    <xf numFmtId="168" fontId="2" fillId="3" borderId="15" xfId="3" applyNumberFormat="1" applyFont="1" applyFill="1" applyBorder="1" applyAlignment="1">
      <alignment horizontal="center" vertical="center"/>
    </xf>
  </cellXfs>
  <cellStyles count="4">
    <cellStyle name="Cuerpo" xfId="2" xr:uid="{716B5A63-F772-49BA-A40D-0006FEFFEFF4}"/>
    <cellStyle name="Normal" xfId="0" builtinId="0"/>
    <cellStyle name="Percent" xfId="3" builtinId="5"/>
    <cellStyle name="Titulo" xfId="1" xr:uid="{6C05264C-0BE6-4A0A-8736-EE8F02B33B4E}"/>
  </cellStyles>
  <dxfs count="0"/>
  <tableStyles count="0" defaultTableStyle="TableStyleMedium9" defaultPivotStyle="PivotStyleLight16"/>
  <colors>
    <mruColors>
      <color rgb="FFFFCC00"/>
      <color rgb="FFFFFFCC"/>
      <color rgb="FFFFFD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23/09/relationships/Python" Target="pytho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18EE8A-D3D9-4BF1-85EE-B910D036D133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F22-AD63-4489-813F-F90A2AB8CBBE}">
  <dimension ref="A1:F39"/>
  <sheetViews>
    <sheetView showGridLines="0" zoomScale="85" workbookViewId="0">
      <selection activeCell="F8" sqref="F8"/>
    </sheetView>
  </sheetViews>
  <sheetFormatPr defaultRowHeight="14.5" x14ac:dyDescent="0.35"/>
  <cols>
    <col min="1" max="1" width="12.08984375" customWidth="1"/>
    <col min="2" max="3" width="11.54296875" customWidth="1"/>
    <col min="4" max="4" width="17.6328125" customWidth="1"/>
    <col min="8" max="8" width="15.6328125" customWidth="1"/>
    <col min="14" max="14" width="17.81640625" customWidth="1"/>
  </cols>
  <sheetData>
    <row r="1" spans="1:6" ht="15" thickBot="1" x14ac:dyDescent="0.4">
      <c r="A1" s="2" t="s">
        <v>0</v>
      </c>
      <c r="B1" s="2" t="s">
        <v>1</v>
      </c>
      <c r="C1" s="2" t="s">
        <v>41</v>
      </c>
      <c r="D1" s="2" t="s">
        <v>2</v>
      </c>
      <c r="F1" s="1"/>
    </row>
    <row r="2" spans="1:6" ht="22" customHeight="1" x14ac:dyDescent="0.35">
      <c r="A2" s="3" t="s">
        <v>3</v>
      </c>
      <c r="B2" s="4">
        <v>45747</v>
      </c>
      <c r="C2" s="12">
        <f t="shared" ref="C2:C39" si="0">YEARFRAC($B$2,B2)</f>
        <v>0</v>
      </c>
      <c r="D2" s="5">
        <v>1</v>
      </c>
      <c r="F2" s="1"/>
    </row>
    <row r="3" spans="1:6" x14ac:dyDescent="0.35">
      <c r="A3" s="6" t="s">
        <v>4</v>
      </c>
      <c r="B3" s="7">
        <v>45748</v>
      </c>
      <c r="C3" s="13">
        <f t="shared" si="0"/>
        <v>2.7777777777777779E-3</v>
      </c>
      <c r="D3" s="8">
        <v>0.99993292116653798</v>
      </c>
    </row>
    <row r="4" spans="1:6" x14ac:dyDescent="0.35">
      <c r="A4" s="6" t="s">
        <v>5</v>
      </c>
      <c r="B4" s="7">
        <v>45756</v>
      </c>
      <c r="C4" s="13">
        <f t="shared" si="0"/>
        <v>2.5000000000000001E-2</v>
      </c>
      <c r="D4" s="8">
        <v>0.99939603911689501</v>
      </c>
    </row>
    <row r="5" spans="1:6" x14ac:dyDescent="0.35">
      <c r="A5" s="6" t="s">
        <v>6</v>
      </c>
      <c r="B5" s="7">
        <v>45763</v>
      </c>
      <c r="C5" s="13">
        <f t="shared" si="0"/>
        <v>4.4444444444444446E-2</v>
      </c>
      <c r="D5" s="8">
        <v>0.998926304709021</v>
      </c>
    </row>
    <row r="6" spans="1:6" x14ac:dyDescent="0.35">
      <c r="A6" s="6" t="s">
        <v>7</v>
      </c>
      <c r="B6" s="7">
        <v>45770</v>
      </c>
      <c r="C6" s="13">
        <f t="shared" si="0"/>
        <v>6.3888888888888884E-2</v>
      </c>
      <c r="D6" s="8">
        <v>0.99845720753910605</v>
      </c>
    </row>
    <row r="7" spans="1:6" x14ac:dyDescent="0.35">
      <c r="A7" s="6" t="s">
        <v>8</v>
      </c>
      <c r="B7" s="7">
        <v>45779</v>
      </c>
      <c r="C7" s="13">
        <f t="shared" si="0"/>
        <v>8.8888888888888892E-2</v>
      </c>
      <c r="D7" s="8">
        <v>0.99790078967515605</v>
      </c>
    </row>
    <row r="8" spans="1:6" x14ac:dyDescent="0.35">
      <c r="A8" s="6" t="s">
        <v>9</v>
      </c>
      <c r="B8" s="7">
        <v>45810</v>
      </c>
      <c r="C8" s="13">
        <f t="shared" si="0"/>
        <v>0.17222222222222222</v>
      </c>
      <c r="D8" s="8">
        <v>0.99598425069204499</v>
      </c>
    </row>
    <row r="9" spans="1:6" x14ac:dyDescent="0.35">
      <c r="A9" s="6" t="s">
        <v>10</v>
      </c>
      <c r="B9" s="7">
        <v>45840</v>
      </c>
      <c r="C9" s="13">
        <f t="shared" si="0"/>
        <v>0.25555555555555554</v>
      </c>
      <c r="D9" s="8">
        <v>0.99421999252455295</v>
      </c>
    </row>
    <row r="10" spans="1:6" x14ac:dyDescent="0.35">
      <c r="A10" s="6" t="s">
        <v>11</v>
      </c>
      <c r="B10" s="7">
        <v>45873</v>
      </c>
      <c r="C10" s="13">
        <f t="shared" si="0"/>
        <v>0.34444444444444444</v>
      </c>
      <c r="D10" s="8">
        <v>0.99234278643586504</v>
      </c>
    </row>
    <row r="11" spans="1:6" x14ac:dyDescent="0.35">
      <c r="A11" s="6" t="s">
        <v>12</v>
      </c>
      <c r="B11" s="7">
        <v>45902</v>
      </c>
      <c r="C11" s="13">
        <f t="shared" si="0"/>
        <v>0.42222222222222222</v>
      </c>
      <c r="D11" s="8">
        <v>0.99072256790792401</v>
      </c>
    </row>
    <row r="12" spans="1:6" x14ac:dyDescent="0.35">
      <c r="A12" s="6" t="s">
        <v>13</v>
      </c>
      <c r="B12" s="7">
        <v>45932</v>
      </c>
      <c r="C12" s="13">
        <f t="shared" si="0"/>
        <v>0.50555555555555554</v>
      </c>
      <c r="D12" s="8">
        <v>0.98909853718348495</v>
      </c>
    </row>
    <row r="13" spans="1:6" x14ac:dyDescent="0.35">
      <c r="A13" s="6" t="s">
        <v>14</v>
      </c>
      <c r="B13" s="7">
        <v>45964</v>
      </c>
      <c r="C13" s="13">
        <f t="shared" si="0"/>
        <v>0.59166666666666667</v>
      </c>
      <c r="D13" s="8">
        <v>0.98741973056667498</v>
      </c>
    </row>
    <row r="14" spans="1:6" x14ac:dyDescent="0.35">
      <c r="A14" s="6" t="s">
        <v>15</v>
      </c>
      <c r="B14" s="7">
        <v>45993</v>
      </c>
      <c r="C14" s="13">
        <f t="shared" si="0"/>
        <v>0.67222222222222228</v>
      </c>
      <c r="D14" s="8">
        <v>0.985903295853788</v>
      </c>
    </row>
    <row r="15" spans="1:6" x14ac:dyDescent="0.35">
      <c r="A15" s="6" t="s">
        <v>16</v>
      </c>
      <c r="B15" s="7">
        <v>46024</v>
      </c>
      <c r="C15" s="13">
        <f t="shared" si="0"/>
        <v>0.75555555555555554</v>
      </c>
      <c r="D15" s="8">
        <v>0.98431265733524398</v>
      </c>
    </row>
    <row r="16" spans="1:6" x14ac:dyDescent="0.35">
      <c r="A16" s="6" t="s">
        <v>17</v>
      </c>
      <c r="B16" s="7">
        <v>46055</v>
      </c>
      <c r="C16" s="13">
        <f t="shared" si="0"/>
        <v>0.83888888888888891</v>
      </c>
      <c r="D16" s="8">
        <v>0.98274976142697501</v>
      </c>
    </row>
    <row r="17" spans="1:4" x14ac:dyDescent="0.35">
      <c r="A17" s="6" t="s">
        <v>18</v>
      </c>
      <c r="B17" s="7">
        <v>46083</v>
      </c>
      <c r="C17" s="13">
        <f t="shared" si="0"/>
        <v>0.92222222222222228</v>
      </c>
      <c r="D17" s="8">
        <v>0.98134682668056195</v>
      </c>
    </row>
    <row r="18" spans="1:4" x14ac:dyDescent="0.35">
      <c r="A18" s="6" t="s">
        <v>19</v>
      </c>
      <c r="B18" s="7">
        <v>46114</v>
      </c>
      <c r="C18" s="13">
        <f t="shared" si="0"/>
        <v>1.0055555555555555</v>
      </c>
      <c r="D18" s="8">
        <v>0.97979412757217899</v>
      </c>
    </row>
    <row r="19" spans="1:4" x14ac:dyDescent="0.35">
      <c r="A19" s="6" t="s">
        <v>20</v>
      </c>
      <c r="B19" s="7">
        <v>46205</v>
      </c>
      <c r="C19" s="13">
        <f t="shared" si="0"/>
        <v>1.2555555555555555</v>
      </c>
      <c r="D19" s="8">
        <v>0.97526176443630497</v>
      </c>
    </row>
    <row r="20" spans="1:4" x14ac:dyDescent="0.35">
      <c r="A20" s="6" t="s">
        <v>21</v>
      </c>
      <c r="B20" s="7">
        <v>46297</v>
      </c>
      <c r="C20" s="13">
        <f t="shared" si="0"/>
        <v>1.5055555555555555</v>
      </c>
      <c r="D20" s="8">
        <v>0.97062605486943798</v>
      </c>
    </row>
    <row r="21" spans="1:4" x14ac:dyDescent="0.35">
      <c r="A21" s="6" t="s">
        <v>22</v>
      </c>
      <c r="B21" s="7">
        <v>46391</v>
      </c>
      <c r="C21" s="13">
        <f t="shared" si="0"/>
        <v>1.7611111111111111</v>
      </c>
      <c r="D21" s="8">
        <v>0.96574290435086896</v>
      </c>
    </row>
    <row r="22" spans="1:4" x14ac:dyDescent="0.35">
      <c r="A22" s="6" t="s">
        <v>23</v>
      </c>
      <c r="B22" s="7">
        <v>46479</v>
      </c>
      <c r="C22" s="13">
        <f t="shared" si="0"/>
        <v>2.0055555555555555</v>
      </c>
      <c r="D22" s="8">
        <v>0.96105089997021498</v>
      </c>
    </row>
    <row r="23" spans="1:4" x14ac:dyDescent="0.35">
      <c r="A23" s="6" t="s">
        <v>24</v>
      </c>
      <c r="B23" s="7">
        <v>46846</v>
      </c>
      <c r="C23" s="13">
        <f t="shared" si="0"/>
        <v>3.0083333333333333</v>
      </c>
      <c r="D23" s="8">
        <v>0.94001726187407297</v>
      </c>
    </row>
    <row r="24" spans="1:4" x14ac:dyDescent="0.35">
      <c r="A24" s="6" t="s">
        <v>25</v>
      </c>
      <c r="B24" s="7">
        <v>47211</v>
      </c>
      <c r="C24" s="13">
        <f t="shared" si="0"/>
        <v>4.0083333333333337</v>
      </c>
      <c r="D24" s="8">
        <v>0.91786313010652998</v>
      </c>
    </row>
    <row r="25" spans="1:4" x14ac:dyDescent="0.35">
      <c r="A25" s="6" t="s">
        <v>26</v>
      </c>
      <c r="B25" s="7">
        <v>47575</v>
      </c>
      <c r="C25" s="13">
        <f t="shared" si="0"/>
        <v>5.0055555555555555</v>
      </c>
      <c r="D25" s="8">
        <v>0.89480503163629399</v>
      </c>
    </row>
    <row r="26" spans="1:4" x14ac:dyDescent="0.35">
      <c r="A26" s="6" t="s">
        <v>27</v>
      </c>
      <c r="B26" s="7">
        <v>47940</v>
      </c>
      <c r="C26" s="13">
        <f t="shared" si="0"/>
        <v>6.0055555555555555</v>
      </c>
      <c r="D26" s="8">
        <v>0.87131603983334704</v>
      </c>
    </row>
    <row r="27" spans="1:4" x14ac:dyDescent="0.35">
      <c r="A27" s="6" t="s">
        <v>28</v>
      </c>
      <c r="B27" s="7">
        <v>48306</v>
      </c>
      <c r="C27" s="13">
        <f t="shared" si="0"/>
        <v>7.0055555555555555</v>
      </c>
      <c r="D27" s="8">
        <v>0.847548163637033</v>
      </c>
    </row>
    <row r="28" spans="1:4" x14ac:dyDescent="0.35">
      <c r="A28" s="6" t="s">
        <v>29</v>
      </c>
      <c r="B28" s="7">
        <v>48673</v>
      </c>
      <c r="C28" s="13">
        <f t="shared" si="0"/>
        <v>8.0111111111111111</v>
      </c>
      <c r="D28" s="8">
        <v>0.82349903888237697</v>
      </c>
    </row>
    <row r="29" spans="1:4" x14ac:dyDescent="0.35">
      <c r="A29" s="6" t="s">
        <v>30</v>
      </c>
      <c r="B29" s="7">
        <v>49037</v>
      </c>
      <c r="C29" s="13">
        <f t="shared" si="0"/>
        <v>9.0083333333333329</v>
      </c>
      <c r="D29" s="8">
        <v>0.79972226056575901</v>
      </c>
    </row>
    <row r="30" spans="1:4" x14ac:dyDescent="0.35">
      <c r="A30" s="6" t="s">
        <v>31</v>
      </c>
      <c r="B30" s="7">
        <v>49401</v>
      </c>
      <c r="C30" s="13">
        <f t="shared" si="0"/>
        <v>10.005555555555556</v>
      </c>
      <c r="D30" s="8">
        <v>0.77628774298077996</v>
      </c>
    </row>
    <row r="31" spans="1:4" x14ac:dyDescent="0.35">
      <c r="A31" s="6" t="s">
        <v>32</v>
      </c>
      <c r="B31" s="7">
        <v>49767</v>
      </c>
      <c r="C31" s="13">
        <f t="shared" si="0"/>
        <v>11.005555555555556</v>
      </c>
      <c r="D31" s="8">
        <v>0.75306369962202302</v>
      </c>
    </row>
    <row r="32" spans="1:4" x14ac:dyDescent="0.35">
      <c r="A32" s="6" t="s">
        <v>33</v>
      </c>
      <c r="B32" s="7">
        <v>50132</v>
      </c>
      <c r="C32" s="13">
        <f t="shared" si="0"/>
        <v>12.005555555555556</v>
      </c>
      <c r="D32" s="8">
        <v>0.730448165764507</v>
      </c>
    </row>
    <row r="33" spans="1:4" x14ac:dyDescent="0.35">
      <c r="A33" s="6" t="s">
        <v>34</v>
      </c>
      <c r="B33" s="7">
        <v>51229</v>
      </c>
      <c r="C33" s="13">
        <f t="shared" si="0"/>
        <v>15.008333333333333</v>
      </c>
      <c r="D33" s="8">
        <v>0.66725207399935305</v>
      </c>
    </row>
    <row r="34" spans="1:4" x14ac:dyDescent="0.35">
      <c r="A34" s="6" t="s">
        <v>35</v>
      </c>
      <c r="B34" s="7">
        <v>53055</v>
      </c>
      <c r="C34" s="13">
        <f t="shared" si="0"/>
        <v>20.008333333333333</v>
      </c>
      <c r="D34" s="8">
        <v>0.58357858964179998</v>
      </c>
    </row>
    <row r="35" spans="1:4" x14ac:dyDescent="0.35">
      <c r="A35" s="6" t="s">
        <v>36</v>
      </c>
      <c r="B35" s="7">
        <v>54882</v>
      </c>
      <c r="C35" s="13">
        <f t="shared" si="0"/>
        <v>25.011111111111113</v>
      </c>
      <c r="D35" s="8">
        <v>0.520305723557551</v>
      </c>
    </row>
    <row r="36" spans="1:4" x14ac:dyDescent="0.35">
      <c r="A36" s="6" t="s">
        <v>37</v>
      </c>
      <c r="B36" s="7">
        <v>56706</v>
      </c>
      <c r="C36" s="13">
        <f t="shared" si="0"/>
        <v>30.005555555555556</v>
      </c>
      <c r="D36" s="8">
        <v>0.468168168315861</v>
      </c>
    </row>
    <row r="37" spans="1:4" x14ac:dyDescent="0.35">
      <c r="A37" s="6" t="s">
        <v>38</v>
      </c>
      <c r="B37" s="7">
        <v>60359</v>
      </c>
      <c r="C37" s="13">
        <f t="shared" si="0"/>
        <v>40.005555555555553</v>
      </c>
      <c r="D37" s="8">
        <v>0.37848081579099802</v>
      </c>
    </row>
    <row r="38" spans="1:4" x14ac:dyDescent="0.35">
      <c r="A38" s="6" t="s">
        <v>39</v>
      </c>
      <c r="B38" s="7">
        <v>64011</v>
      </c>
      <c r="C38" s="13">
        <f t="shared" si="0"/>
        <v>50.005555555555553</v>
      </c>
      <c r="D38" s="8">
        <v>0.31292981348091498</v>
      </c>
    </row>
    <row r="39" spans="1:4" ht="15" thickBot="1" x14ac:dyDescent="0.4">
      <c r="A39" s="9" t="s">
        <v>40</v>
      </c>
      <c r="B39" s="10">
        <v>67664</v>
      </c>
      <c r="C39" s="14">
        <f t="shared" si="0"/>
        <v>60.005555555555553</v>
      </c>
      <c r="D39" s="11">
        <v>0.26963699121603801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7BC0-7B28-4DC3-A38A-D3AB47DED492}">
  <dimension ref="A1:AR6"/>
  <sheetViews>
    <sheetView showGridLines="0" tabSelected="1" workbookViewId="0">
      <selection activeCell="B2" sqref="B2:B6"/>
    </sheetView>
  </sheetViews>
  <sheetFormatPr defaultRowHeight="14.5" x14ac:dyDescent="0.35"/>
  <cols>
    <col min="1" max="2" width="8.81640625" bestFit="1" customWidth="1"/>
    <col min="3" max="3" width="14.26953125" customWidth="1"/>
    <col min="4" max="4" width="17.08984375" customWidth="1"/>
    <col min="5" max="44" width="8.81640625" bestFit="1" customWidth="1"/>
  </cols>
  <sheetData>
    <row r="1" spans="1:44" ht="15" thickBot="1" x14ac:dyDescent="0.4">
      <c r="A1" s="44" t="s">
        <v>0</v>
      </c>
      <c r="B1" s="44" t="s">
        <v>53</v>
      </c>
      <c r="C1" s="44" t="s">
        <v>51</v>
      </c>
      <c r="D1" s="44" t="s">
        <v>52</v>
      </c>
      <c r="E1" s="44" t="s">
        <v>50</v>
      </c>
    </row>
    <row r="2" spans="1:44" ht="15" thickBot="1" x14ac:dyDescent="0.4">
      <c r="A2" s="37">
        <f>MAX('CAP1'!J3:J5)</f>
        <v>2</v>
      </c>
      <c r="B2" s="47">
        <f>'CAP1'!D3</f>
        <v>1.9633653477116499</v>
      </c>
      <c r="C2" s="40">
        <f>'CAP1'!I3</f>
        <v>1000000</v>
      </c>
      <c r="D2" s="29">
        <f>SUM('CAP1'!H3:H5)</f>
        <v>4323.2347180412498</v>
      </c>
      <c r="E2" s="29">
        <f t="shared" ref="E2:E6" si="0">G2-F2</f>
        <v>0.5</v>
      </c>
      <c r="F2" s="42" cm="1">
        <f t="array" ref="F2:H2">TRANSPOSE('CAP1'!J3:J5)</f>
        <v>1</v>
      </c>
      <c r="G2" s="42">
        <v>1.5</v>
      </c>
      <c r="H2" s="43">
        <v>2</v>
      </c>
    </row>
    <row r="3" spans="1:44" ht="15" thickBot="1" x14ac:dyDescent="0.4">
      <c r="A3" s="6">
        <f>MAX('CAP2'!J3:J7)</f>
        <v>3</v>
      </c>
      <c r="B3" s="47">
        <f>'CAP2'!D3</f>
        <v>2.0345337305724298</v>
      </c>
      <c r="C3" s="45">
        <f>'CAP2'!I3</f>
        <v>1000000</v>
      </c>
      <c r="D3" s="16">
        <f>SUM('CAP2'!H3:H7)</f>
        <v>10163.073489933222</v>
      </c>
      <c r="E3" s="16">
        <f t="shared" si="0"/>
        <v>0.5</v>
      </c>
      <c r="F3" s="13" cm="1">
        <f t="array" ref="F3:J3">TRANSPOSE('CAP2'!J3:J7)</f>
        <v>1</v>
      </c>
      <c r="G3" s="13">
        <v>1.5</v>
      </c>
      <c r="H3" s="13">
        <v>2</v>
      </c>
      <c r="I3" s="12">
        <v>2.5</v>
      </c>
      <c r="J3" s="30">
        <v>3</v>
      </c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</row>
    <row r="4" spans="1:44" ht="15" thickBot="1" x14ac:dyDescent="0.4">
      <c r="A4" s="38">
        <f>MAX('CAP3'!J3:J11)</f>
        <v>4.9972222222222218</v>
      </c>
      <c r="B4" s="47">
        <f>'CAP2'!D4</f>
        <v>2.0345337305724298</v>
      </c>
      <c r="C4" s="39">
        <f>'CAP3'!I3</f>
        <v>1000000</v>
      </c>
      <c r="D4" s="19">
        <f>SUM('CAP3'!H3:H11)</f>
        <v>24018.142776021221</v>
      </c>
      <c r="E4" s="19">
        <f t="shared" si="0"/>
        <v>0.5</v>
      </c>
      <c r="F4" s="12" cm="1">
        <f t="array" ref="F4:N4">TRANSPOSE('CAP3'!J3:J11)</f>
        <v>1</v>
      </c>
      <c r="G4" s="12">
        <v>1.5</v>
      </c>
      <c r="H4" s="12">
        <v>2</v>
      </c>
      <c r="I4" s="12">
        <v>2.5</v>
      </c>
      <c r="J4" s="12">
        <v>3</v>
      </c>
      <c r="K4" s="12">
        <v>3.4972222222222222</v>
      </c>
      <c r="L4" s="12">
        <v>3.9972222222222222</v>
      </c>
      <c r="M4" s="12">
        <v>4.4944444444444445</v>
      </c>
      <c r="N4" s="30">
        <v>4.9972222222222218</v>
      </c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</row>
    <row r="5" spans="1:44" ht="15" thickBot="1" x14ac:dyDescent="0.4">
      <c r="A5" s="3">
        <f>MAX('CAP4'!J3:J21)</f>
        <v>10</v>
      </c>
      <c r="B5" s="47">
        <f>'CAP2'!D5</f>
        <v>2.0345337305724298</v>
      </c>
      <c r="C5" s="39">
        <f>'CAP5'!I3</f>
        <v>1000000</v>
      </c>
      <c r="D5" s="19">
        <f>SUM('CAP4'!H3:H21)</f>
        <v>64306.968283881317</v>
      </c>
      <c r="E5" s="19">
        <f t="shared" si="0"/>
        <v>0.5</v>
      </c>
      <c r="F5" s="12" cm="1">
        <f t="array" ref="F5:X5">TRANSPOSE('CAP4'!J3:J21)</f>
        <v>1</v>
      </c>
      <c r="G5" s="12">
        <v>1.5</v>
      </c>
      <c r="H5" s="12">
        <v>2</v>
      </c>
      <c r="I5" s="12">
        <v>2.5</v>
      </c>
      <c r="J5" s="12">
        <v>3</v>
      </c>
      <c r="K5" s="12">
        <v>3.4972222222222222</v>
      </c>
      <c r="L5" s="12">
        <v>3.9972222222222222</v>
      </c>
      <c r="M5" s="12">
        <v>4.4944444444444445</v>
      </c>
      <c r="N5" s="12">
        <v>4.9972222222222218</v>
      </c>
      <c r="O5" s="12">
        <v>5.5</v>
      </c>
      <c r="P5" s="12">
        <v>6</v>
      </c>
      <c r="Q5" s="12">
        <v>6.5</v>
      </c>
      <c r="R5" s="12">
        <v>7</v>
      </c>
      <c r="S5" s="12">
        <v>7.5</v>
      </c>
      <c r="T5" s="12">
        <v>8</v>
      </c>
      <c r="U5" s="12">
        <v>8.5</v>
      </c>
      <c r="V5" s="12">
        <v>9</v>
      </c>
      <c r="W5" s="12">
        <v>9.4972222222222218</v>
      </c>
      <c r="X5" s="30">
        <v>10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</row>
    <row r="6" spans="1:44" ht="15" thickBot="1" x14ac:dyDescent="0.4">
      <c r="A6" s="37">
        <f>MAX('CAP5'!J3:J41)</f>
        <v>20</v>
      </c>
      <c r="B6" s="47">
        <f>'CAP2'!D6</f>
        <v>2.0345337305724298</v>
      </c>
      <c r="C6" s="40">
        <f>'CAP5'!I3</f>
        <v>1000000</v>
      </c>
      <c r="D6" s="29">
        <f>SUM('CAP5'!H3:H41)</f>
        <v>141821.30611806049</v>
      </c>
      <c r="E6" s="29">
        <f t="shared" si="0"/>
        <v>0.5</v>
      </c>
      <c r="F6" s="42" cm="1">
        <f t="array" ref="F6:AR6">TRANSPOSE('CAP5'!J3:J41)</f>
        <v>1</v>
      </c>
      <c r="G6" s="42">
        <v>1.5</v>
      </c>
      <c r="H6" s="42">
        <v>2</v>
      </c>
      <c r="I6" s="42">
        <v>2.5</v>
      </c>
      <c r="J6" s="42">
        <v>3</v>
      </c>
      <c r="K6" s="42">
        <v>3.4972222222222222</v>
      </c>
      <c r="L6" s="42">
        <v>3.9972222222222222</v>
      </c>
      <c r="M6" s="42">
        <v>4.4944444444444445</v>
      </c>
      <c r="N6" s="42">
        <v>4.9972222222222218</v>
      </c>
      <c r="O6" s="42">
        <v>5.5</v>
      </c>
      <c r="P6" s="42">
        <v>6</v>
      </c>
      <c r="Q6" s="42">
        <v>6.5</v>
      </c>
      <c r="R6" s="42">
        <v>7</v>
      </c>
      <c r="S6" s="42">
        <v>7.5</v>
      </c>
      <c r="T6" s="42">
        <v>8</v>
      </c>
      <c r="U6" s="42">
        <v>8.5</v>
      </c>
      <c r="V6" s="42">
        <v>9</v>
      </c>
      <c r="W6" s="42">
        <v>9.4972222222222218</v>
      </c>
      <c r="X6" s="42">
        <v>10</v>
      </c>
      <c r="Y6" s="42">
        <v>10.494444444444444</v>
      </c>
      <c r="Z6" s="42">
        <v>11</v>
      </c>
      <c r="AA6" s="42">
        <v>11.5</v>
      </c>
      <c r="AB6" s="42">
        <v>12</v>
      </c>
      <c r="AC6" s="42">
        <v>12.5</v>
      </c>
      <c r="AD6" s="42">
        <v>13</v>
      </c>
      <c r="AE6" s="42">
        <v>13.5</v>
      </c>
      <c r="AF6" s="42">
        <v>14</v>
      </c>
      <c r="AG6" s="42">
        <v>14.5</v>
      </c>
      <c r="AH6" s="42">
        <v>14.997222222222222</v>
      </c>
      <c r="AI6" s="42">
        <v>15.494444444444444</v>
      </c>
      <c r="AJ6" s="42">
        <v>15.997222222222222</v>
      </c>
      <c r="AK6" s="42">
        <v>16.5</v>
      </c>
      <c r="AL6" s="42">
        <v>17</v>
      </c>
      <c r="AM6" s="42">
        <v>17.5</v>
      </c>
      <c r="AN6" s="42">
        <v>18</v>
      </c>
      <c r="AO6" s="42">
        <v>18.5</v>
      </c>
      <c r="AP6" s="42">
        <v>19</v>
      </c>
      <c r="AQ6" s="42">
        <v>19.5</v>
      </c>
      <c r="AR6" s="4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EF41-341B-4D85-9F47-186E6B4965CC}">
  <dimension ref="B1:J3"/>
  <sheetViews>
    <sheetView showGridLines="0" workbookViewId="0">
      <selection activeCell="H10" sqref="H10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44" t="s">
        <v>42</v>
      </c>
      <c r="C2" s="44" t="s">
        <v>43</v>
      </c>
      <c r="D2" s="44" t="s">
        <v>44</v>
      </c>
      <c r="E2" s="44" t="s">
        <v>45</v>
      </c>
      <c r="F2" s="44" t="s">
        <v>46</v>
      </c>
      <c r="G2" s="44" t="s">
        <v>47</v>
      </c>
      <c r="H2" s="44" t="s">
        <v>48</v>
      </c>
      <c r="I2" s="46" t="s">
        <v>49</v>
      </c>
      <c r="J2" s="36" t="s">
        <v>50</v>
      </c>
    </row>
    <row r="3" spans="2:10" ht="15" thickBot="1" x14ac:dyDescent="0.4">
      <c r="B3" s="27">
        <v>45930</v>
      </c>
      <c r="C3" s="28">
        <v>46112</v>
      </c>
      <c r="D3" s="29">
        <v>2.0129587068435999</v>
      </c>
      <c r="E3" s="29">
        <v>2.0129587068435999</v>
      </c>
      <c r="F3" s="29">
        <v>54.1941293047729</v>
      </c>
      <c r="G3" s="29">
        <v>1.8794804599999999</v>
      </c>
      <c r="H3" s="29">
        <v>772.75472948077697</v>
      </c>
      <c r="I3" s="29">
        <v>1000000</v>
      </c>
      <c r="J3" s="35">
        <f>YEARFRAC(Curve!$B$2,C3)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9982A-AE06-46B4-BF12-DC790D433C8A}">
  <dimension ref="B1:J5"/>
  <sheetViews>
    <sheetView showGridLines="0" workbookViewId="0">
      <selection activeCell="J2" sqref="J2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44" t="s">
        <v>42</v>
      </c>
      <c r="C2" s="44" t="s">
        <v>43</v>
      </c>
      <c r="D2" s="44" t="s">
        <v>44</v>
      </c>
      <c r="E2" s="44" t="s">
        <v>45</v>
      </c>
      <c r="F2" s="44" t="s">
        <v>46</v>
      </c>
      <c r="G2" s="44" t="s">
        <v>47</v>
      </c>
      <c r="H2" s="44" t="s">
        <v>48</v>
      </c>
      <c r="I2" s="46" t="s">
        <v>49</v>
      </c>
      <c r="J2" s="36" t="s">
        <v>50</v>
      </c>
    </row>
    <row r="3" spans="2:10" x14ac:dyDescent="0.35">
      <c r="B3" s="17">
        <v>45930</v>
      </c>
      <c r="C3" s="18">
        <v>46112</v>
      </c>
      <c r="D3" s="19">
        <v>1.9633653477116499</v>
      </c>
      <c r="E3" s="19">
        <v>1.9633653477116499</v>
      </c>
      <c r="F3" s="19">
        <v>52.938399219358203</v>
      </c>
      <c r="G3" s="19">
        <v>1.8794804599999999</v>
      </c>
      <c r="H3" s="19">
        <v>851.56258481360999</v>
      </c>
      <c r="I3" s="19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1.9633653477116499</v>
      </c>
      <c r="E4" s="16">
        <v>1.9633653477116499</v>
      </c>
      <c r="F4" s="16">
        <v>61.927348633312199</v>
      </c>
      <c r="G4" s="16">
        <v>1.85750083</v>
      </c>
      <c r="H4" s="16">
        <v>1247.0845363008</v>
      </c>
      <c r="I4" s="16">
        <v>1000000</v>
      </c>
      <c r="J4" s="33">
        <f>YEARFRAC(Curve!$B$2,C4)</f>
        <v>1.5</v>
      </c>
    </row>
    <row r="5" spans="2:10" ht="15" thickBot="1" x14ac:dyDescent="0.4">
      <c r="B5" s="23">
        <v>46295</v>
      </c>
      <c r="C5" s="24">
        <v>46477</v>
      </c>
      <c r="D5" s="25">
        <v>1.9633653477116499</v>
      </c>
      <c r="E5" s="25">
        <v>1.9633653477116499</v>
      </c>
      <c r="F5" s="25">
        <v>80.620277528240507</v>
      </c>
      <c r="G5" s="25">
        <v>1.96927081</v>
      </c>
      <c r="H5" s="25">
        <v>2224.58759692684</v>
      </c>
      <c r="I5" s="25">
        <v>1000000</v>
      </c>
      <c r="J5" s="34">
        <f>YEARFRAC(Curve!$B$2,C5)</f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797D-B410-4024-83CC-D73557997FD3}">
  <dimension ref="B1:J7"/>
  <sheetViews>
    <sheetView showGridLines="0" workbookViewId="0">
      <selection activeCell="D11" sqref="D1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31" t="s">
        <v>50</v>
      </c>
    </row>
    <row r="3" spans="2:10" x14ac:dyDescent="0.35">
      <c r="B3" s="17">
        <v>45930</v>
      </c>
      <c r="C3" s="18">
        <v>46112</v>
      </c>
      <c r="D3" s="19">
        <v>2.0345337305724298</v>
      </c>
      <c r="E3" s="19">
        <v>2.0345337305724298</v>
      </c>
      <c r="F3" s="19">
        <v>54.319224300216497</v>
      </c>
      <c r="G3" s="19">
        <v>1.8794804599999999</v>
      </c>
      <c r="H3" s="19">
        <v>732.90499489157196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2.0345337305724298</v>
      </c>
      <c r="E4" s="16">
        <v>2.0345337305724298</v>
      </c>
      <c r="F4" s="16">
        <v>62.7221234747838</v>
      </c>
      <c r="G4" s="16">
        <v>1.85750083</v>
      </c>
      <c r="H4" s="16">
        <v>1116.1124220481199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2.0345337305724298</v>
      </c>
      <c r="E5" s="16">
        <v>2.0345337305724298</v>
      </c>
      <c r="F5" s="16">
        <v>80.196334258257295</v>
      </c>
      <c r="G5" s="16">
        <v>1.96927081</v>
      </c>
      <c r="H5" s="16">
        <v>2043.6641148342601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2.0345337305724298</v>
      </c>
      <c r="E6" s="16">
        <v>2.0345337305724298</v>
      </c>
      <c r="F6" s="16">
        <v>88.302762389002694</v>
      </c>
      <c r="G6" s="16">
        <v>2.1183476799999998</v>
      </c>
      <c r="H6" s="16">
        <v>2900.6016410287102</v>
      </c>
      <c r="I6" s="22">
        <v>1000000</v>
      </c>
      <c r="J6" s="33">
        <f>YEARFRAC(Curve!$B$2,C6)</f>
        <v>2.5</v>
      </c>
    </row>
    <row r="7" spans="2:10" ht="15" thickBot="1" x14ac:dyDescent="0.4">
      <c r="B7" s="23">
        <v>46660</v>
      </c>
      <c r="C7" s="24">
        <v>46843</v>
      </c>
      <c r="D7" s="25">
        <v>2.0345337305724298</v>
      </c>
      <c r="E7" s="25">
        <v>2.0345337305724298</v>
      </c>
      <c r="F7" s="25">
        <v>86.046391606598306</v>
      </c>
      <c r="G7" s="25">
        <v>2.2438381199999999</v>
      </c>
      <c r="H7" s="25">
        <v>3369.7903171305602</v>
      </c>
      <c r="I7" s="26">
        <v>1000000</v>
      </c>
      <c r="J7" s="34">
        <f>YEARFRAC(Curve!$B$2,C7)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7341-2EB7-435C-BE7D-50CCE8E04654}">
  <dimension ref="B1:J11"/>
  <sheetViews>
    <sheetView showGridLines="0" workbookViewId="0">
      <selection activeCell="J2" sqref="J2:J1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31" t="s">
        <v>50</v>
      </c>
    </row>
    <row r="3" spans="2:10" x14ac:dyDescent="0.35">
      <c r="B3" s="17">
        <v>45930</v>
      </c>
      <c r="C3" s="18">
        <v>46112</v>
      </c>
      <c r="D3" s="19">
        <v>2.1935024558297398</v>
      </c>
      <c r="E3" s="19">
        <v>2.1935024558297398</v>
      </c>
      <c r="F3" s="19">
        <v>55.245892517504302</v>
      </c>
      <c r="G3" s="19">
        <v>1.8794804599999999</v>
      </c>
      <c r="H3" s="19">
        <v>485.79942098126497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2.1935024558297398</v>
      </c>
      <c r="E4" s="16">
        <v>2.1935024558297398</v>
      </c>
      <c r="F4" s="16">
        <v>63.520171489779798</v>
      </c>
      <c r="G4" s="16">
        <v>1.85750083</v>
      </c>
      <c r="H4" s="16">
        <v>843.77992202784401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2.1935024558297398</v>
      </c>
      <c r="E5" s="16">
        <v>2.1935024558297398</v>
      </c>
      <c r="F5" s="16">
        <v>80.726910716217802</v>
      </c>
      <c r="G5" s="16">
        <v>1.96927081</v>
      </c>
      <c r="H5" s="16">
        <v>1710.8921000658399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2.1935024558297398</v>
      </c>
      <c r="E6" s="16">
        <v>2.1935024558297398</v>
      </c>
      <c r="F6" s="16">
        <v>88.858641115471002</v>
      </c>
      <c r="G6" s="16">
        <v>2.1183476799999998</v>
      </c>
      <c r="H6" s="16">
        <v>2532.36664475727</v>
      </c>
      <c r="I6" s="22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2.1935024558297398</v>
      </c>
      <c r="E7" s="16">
        <v>2.1935024558297398</v>
      </c>
      <c r="F7" s="16">
        <v>86.954684107626093</v>
      </c>
      <c r="G7" s="16">
        <v>2.2438381199999999</v>
      </c>
      <c r="H7" s="16">
        <v>2993.5314525065701</v>
      </c>
      <c r="I7" s="22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2.1935024558297398</v>
      </c>
      <c r="E8" s="16">
        <v>2.1935024558297398</v>
      </c>
      <c r="F8" s="16">
        <v>86.093566359170197</v>
      </c>
      <c r="G8" s="16">
        <v>2.3240577299999998</v>
      </c>
      <c r="H8" s="16">
        <v>3334.75945173838</v>
      </c>
      <c r="I8" s="22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47206</v>
      </c>
      <c r="D9" s="16">
        <v>2.1935024558297398</v>
      </c>
      <c r="E9" s="16">
        <v>2.1935024558297398</v>
      </c>
      <c r="F9" s="16">
        <v>86.356794683530893</v>
      </c>
      <c r="G9" s="16">
        <v>2.4051181499999998</v>
      </c>
      <c r="H9" s="16">
        <v>3690.94057994883</v>
      </c>
      <c r="I9" s="22">
        <v>1000000</v>
      </c>
      <c r="J9" s="33">
        <f>YEARFRAC(Curve!$B$2,C9)</f>
        <v>3.9972222222222222</v>
      </c>
    </row>
    <row r="10" spans="2:10" x14ac:dyDescent="0.35">
      <c r="B10" s="21">
        <v>47206</v>
      </c>
      <c r="C10" s="15">
        <v>47389</v>
      </c>
      <c r="D10" s="16">
        <v>2.1935024558297398</v>
      </c>
      <c r="E10" s="16">
        <v>2.1935024558297398</v>
      </c>
      <c r="F10" s="16">
        <v>85.973506259484793</v>
      </c>
      <c r="G10" s="16">
        <v>2.4948333599999999</v>
      </c>
      <c r="H10" s="16">
        <v>4091.9337288111601</v>
      </c>
      <c r="I10" s="22">
        <v>1000000</v>
      </c>
      <c r="J10" s="33">
        <f>YEARFRAC(Curve!$B$2,C10)</f>
        <v>4.4944444444444445</v>
      </c>
    </row>
    <row r="11" spans="2:10" ht="15" thickBot="1" x14ac:dyDescent="0.4">
      <c r="B11" s="23">
        <v>47389</v>
      </c>
      <c r="C11" s="24">
        <v>47571</v>
      </c>
      <c r="D11" s="25">
        <v>2.1935024558297398</v>
      </c>
      <c r="E11" s="25">
        <v>2.1935024558297398</v>
      </c>
      <c r="F11" s="25">
        <v>84.865531005825801</v>
      </c>
      <c r="G11" s="25">
        <v>2.5666587000000001</v>
      </c>
      <c r="H11" s="25">
        <v>4334.1394751840598</v>
      </c>
      <c r="I11" s="26">
        <v>1000000</v>
      </c>
      <c r="J11" s="34">
        <f>YEARFRAC(Curve!$B$2,C11)</f>
        <v>4.9972222222222218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B13E6-06F6-4457-B91B-63628717BBB9}">
  <dimension ref="B1:J21"/>
  <sheetViews>
    <sheetView showGridLines="0" workbookViewId="0">
      <selection activeCell="J2" sqref="J2:J21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31" t="s">
        <v>50</v>
      </c>
    </row>
    <row r="3" spans="2:10" x14ac:dyDescent="0.35">
      <c r="B3" s="17">
        <v>45930</v>
      </c>
      <c r="C3" s="18">
        <v>46112</v>
      </c>
      <c r="D3" s="19">
        <v>2.48484925823881</v>
      </c>
      <c r="E3" s="19">
        <v>2.48484925823881</v>
      </c>
      <c r="F3" s="19">
        <v>56.928548670483003</v>
      </c>
      <c r="G3" s="19">
        <v>1.8794804599999999</v>
      </c>
      <c r="H3" s="19">
        <v>207.94690082624001</v>
      </c>
      <c r="I3" s="20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2.48484925823881</v>
      </c>
      <c r="E4" s="16">
        <v>2.48484925823881</v>
      </c>
      <c r="F4" s="16">
        <v>64.969607608353897</v>
      </c>
      <c r="G4" s="16">
        <v>1.85750083</v>
      </c>
      <c r="H4" s="16">
        <v>482.23072855794197</v>
      </c>
      <c r="I4" s="22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2.48484925823881</v>
      </c>
      <c r="E5" s="16">
        <v>2.48484925823881</v>
      </c>
      <c r="F5" s="16">
        <v>81.691355172334696</v>
      </c>
      <c r="G5" s="16">
        <v>1.96927081</v>
      </c>
      <c r="H5" s="16">
        <v>1206.31634940445</v>
      </c>
      <c r="I5" s="22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2.48484925823881</v>
      </c>
      <c r="E6" s="16">
        <v>2.48484925823881</v>
      </c>
      <c r="F6" s="16">
        <v>89.874173946112194</v>
      </c>
      <c r="G6" s="16">
        <v>2.1183476799999998</v>
      </c>
      <c r="H6" s="16">
        <v>1945.9191001858201</v>
      </c>
      <c r="I6" s="22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2.48484925823881</v>
      </c>
      <c r="E7" s="16">
        <v>2.48484925823881</v>
      </c>
      <c r="F7" s="16">
        <v>88.620314288663494</v>
      </c>
      <c r="G7" s="16">
        <v>2.2438381199999999</v>
      </c>
      <c r="H7" s="16">
        <v>2386.7166114128399</v>
      </c>
      <c r="I7" s="22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2.48484925823881</v>
      </c>
      <c r="E8" s="16">
        <v>2.48484925823881</v>
      </c>
      <c r="F8" s="16">
        <v>87.9398537158837</v>
      </c>
      <c r="G8" s="16">
        <v>2.3240577299999998</v>
      </c>
      <c r="H8" s="16">
        <v>2719.9134851240801</v>
      </c>
      <c r="I8" s="22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47206</v>
      </c>
      <c r="D9" s="16">
        <v>2.48484925823881</v>
      </c>
      <c r="E9" s="16">
        <v>2.48484925823881</v>
      </c>
      <c r="F9" s="16">
        <v>87.8787393120258</v>
      </c>
      <c r="G9" s="16">
        <v>2.4051181499999998</v>
      </c>
      <c r="H9" s="16">
        <v>3053.9478806229599</v>
      </c>
      <c r="I9" s="22">
        <v>1000000</v>
      </c>
      <c r="J9" s="33">
        <f>YEARFRAC(Curve!$B$2,C9)</f>
        <v>3.9972222222222222</v>
      </c>
    </row>
    <row r="10" spans="2:10" x14ac:dyDescent="0.35">
      <c r="B10" s="21">
        <v>47206</v>
      </c>
      <c r="C10" s="15">
        <v>47389</v>
      </c>
      <c r="D10" s="16">
        <v>2.48484925823881</v>
      </c>
      <c r="E10" s="16">
        <v>2.48484925823881</v>
      </c>
      <c r="F10" s="16">
        <v>87.115219453107301</v>
      </c>
      <c r="G10" s="16">
        <v>2.4948333599999999</v>
      </c>
      <c r="H10" s="16">
        <v>3419.4074888729501</v>
      </c>
      <c r="I10" s="22">
        <v>1000000</v>
      </c>
      <c r="J10" s="33">
        <f>YEARFRAC(Curve!$B$2,C10)</f>
        <v>4.4944444444444445</v>
      </c>
    </row>
    <row r="11" spans="2:10" x14ac:dyDescent="0.35">
      <c r="B11" s="21">
        <v>47389</v>
      </c>
      <c r="C11" s="15">
        <v>47571</v>
      </c>
      <c r="D11" s="16">
        <v>2.48484925823881</v>
      </c>
      <c r="E11" s="16">
        <v>2.48484925823881</v>
      </c>
      <c r="F11" s="16">
        <v>85.5584012503151</v>
      </c>
      <c r="G11" s="16">
        <v>2.5666587000000001</v>
      </c>
      <c r="H11" s="16">
        <v>3640.01953446167</v>
      </c>
      <c r="I11" s="22">
        <v>1000000</v>
      </c>
      <c r="J11" s="33">
        <f>YEARFRAC(Curve!$B$2,C11)</f>
        <v>4.9972222222222218</v>
      </c>
    </row>
    <row r="12" spans="2:10" x14ac:dyDescent="0.35">
      <c r="B12" s="21">
        <v>47571</v>
      </c>
      <c r="C12" s="15">
        <v>47756</v>
      </c>
      <c r="D12" s="16">
        <v>2.48484925823881</v>
      </c>
      <c r="E12" s="16">
        <v>2.48484925823881</v>
      </c>
      <c r="F12" s="16">
        <v>84.445980661775295</v>
      </c>
      <c r="G12" s="16">
        <v>2.6174237300000001</v>
      </c>
      <c r="H12" s="16">
        <v>3895.1572609401701</v>
      </c>
      <c r="I12" s="22">
        <v>1000000</v>
      </c>
      <c r="J12" s="33">
        <f>YEARFRAC(Curve!$B$2,C12)</f>
        <v>5.5</v>
      </c>
    </row>
    <row r="13" spans="2:10" x14ac:dyDescent="0.35">
      <c r="B13" s="21">
        <v>47756</v>
      </c>
      <c r="C13" s="15">
        <v>47938</v>
      </c>
      <c r="D13" s="16">
        <v>2.48484925823881</v>
      </c>
      <c r="E13" s="16">
        <v>2.48484925823881</v>
      </c>
      <c r="F13" s="16">
        <v>83.809819285272894</v>
      </c>
      <c r="G13" s="16">
        <v>2.6640139999999999</v>
      </c>
      <c r="H13" s="16">
        <v>4016.5915929173502</v>
      </c>
      <c r="I13" s="22">
        <v>1000000</v>
      </c>
      <c r="J13" s="33">
        <f>YEARFRAC(Curve!$B$2,C13)</f>
        <v>6</v>
      </c>
    </row>
    <row r="14" spans="2:10" x14ac:dyDescent="0.35">
      <c r="B14" s="21">
        <v>47938</v>
      </c>
      <c r="C14" s="15">
        <v>48121</v>
      </c>
      <c r="D14" s="16">
        <v>2.48484925823881</v>
      </c>
      <c r="E14" s="16">
        <v>2.48484925823881</v>
      </c>
      <c r="F14" s="16">
        <v>82.929792829608104</v>
      </c>
      <c r="G14" s="16">
        <v>2.7125390399999998</v>
      </c>
      <c r="H14" s="16">
        <v>4204.8811769427502</v>
      </c>
      <c r="I14" s="22">
        <v>1000000</v>
      </c>
      <c r="J14" s="33">
        <f>YEARFRAC(Curve!$B$2,C14)</f>
        <v>6.5</v>
      </c>
    </row>
    <row r="15" spans="2:10" x14ac:dyDescent="0.35">
      <c r="B15" s="21">
        <v>48121</v>
      </c>
      <c r="C15" s="15">
        <v>48304</v>
      </c>
      <c r="D15" s="16">
        <v>2.48484925823881</v>
      </c>
      <c r="E15" s="16">
        <v>2.48484925823881</v>
      </c>
      <c r="F15" s="16">
        <v>81.771927494352795</v>
      </c>
      <c r="G15" s="16">
        <v>2.7648736999999999</v>
      </c>
      <c r="H15" s="16">
        <v>4353.5718696415297</v>
      </c>
      <c r="I15" s="22">
        <v>1000000</v>
      </c>
      <c r="J15" s="33">
        <f>YEARFRAC(Curve!$B$2,C15)</f>
        <v>7</v>
      </c>
    </row>
    <row r="16" spans="2:10" x14ac:dyDescent="0.35">
      <c r="B16" s="21">
        <v>48304</v>
      </c>
      <c r="C16" s="15">
        <v>48487</v>
      </c>
      <c r="D16" s="16">
        <v>2.48484925823881</v>
      </c>
      <c r="E16" s="16">
        <v>2.48484925823881</v>
      </c>
      <c r="F16" s="16">
        <v>80.886043490149106</v>
      </c>
      <c r="G16" s="16">
        <v>2.8194615600000001</v>
      </c>
      <c r="H16" s="16">
        <v>4507.9992341643001</v>
      </c>
      <c r="I16" s="22">
        <v>1000000</v>
      </c>
      <c r="J16" s="33">
        <f>YEARFRAC(Curve!$B$2,C16)</f>
        <v>7.5</v>
      </c>
    </row>
    <row r="17" spans="2:10" x14ac:dyDescent="0.35">
      <c r="B17" s="21">
        <v>48487</v>
      </c>
      <c r="C17" s="15">
        <v>48669</v>
      </c>
      <c r="D17" s="16">
        <v>2.48484925823881</v>
      </c>
      <c r="E17" s="16">
        <v>2.48484925823881</v>
      </c>
      <c r="F17" s="16">
        <v>80.287420667054903</v>
      </c>
      <c r="G17" s="16">
        <v>2.8668636300000001</v>
      </c>
      <c r="H17" s="16">
        <v>4621.6038389236501</v>
      </c>
      <c r="I17" s="22">
        <v>1000000</v>
      </c>
      <c r="J17" s="33">
        <f>YEARFRAC(Curve!$B$2,C17)</f>
        <v>8</v>
      </c>
    </row>
    <row r="18" spans="2:10" x14ac:dyDescent="0.35">
      <c r="B18" s="21">
        <v>48669</v>
      </c>
      <c r="C18" s="15">
        <v>48852</v>
      </c>
      <c r="D18" s="16">
        <v>2.48484925823881</v>
      </c>
      <c r="E18" s="16">
        <v>2.48484925823881</v>
      </c>
      <c r="F18" s="16">
        <v>79.807409104192899</v>
      </c>
      <c r="G18" s="16">
        <v>2.9047449300000001</v>
      </c>
      <c r="H18" s="16">
        <v>4759.2894358866897</v>
      </c>
      <c r="I18" s="22">
        <v>1000000</v>
      </c>
      <c r="J18" s="33">
        <f>YEARFRAC(Curve!$B$2,C18)</f>
        <v>8.5</v>
      </c>
    </row>
    <row r="19" spans="2:10" x14ac:dyDescent="0.35">
      <c r="B19" s="21">
        <v>48852</v>
      </c>
      <c r="C19" s="15">
        <v>49034</v>
      </c>
      <c r="D19" s="16">
        <v>2.48484925823881</v>
      </c>
      <c r="E19" s="16">
        <v>2.48484925823881</v>
      </c>
      <c r="F19" s="16">
        <v>79.451398209829307</v>
      </c>
      <c r="G19" s="16">
        <v>2.9322542</v>
      </c>
      <c r="H19" s="16">
        <v>4817.65135680816</v>
      </c>
      <c r="I19" s="22">
        <v>1000000</v>
      </c>
      <c r="J19" s="33">
        <f>YEARFRAC(Curve!$B$2,C19)</f>
        <v>9</v>
      </c>
    </row>
    <row r="20" spans="2:10" x14ac:dyDescent="0.35">
      <c r="B20" s="21">
        <v>49034</v>
      </c>
      <c r="C20" s="15">
        <v>49216</v>
      </c>
      <c r="D20" s="16">
        <v>2.48484925823881</v>
      </c>
      <c r="E20" s="16">
        <v>2.48484925823881</v>
      </c>
      <c r="F20" s="16">
        <v>80.397347471162007</v>
      </c>
      <c r="G20" s="16">
        <v>2.95180949</v>
      </c>
      <c r="H20" s="16">
        <v>4938.8463250408704</v>
      </c>
      <c r="I20" s="22">
        <v>1000000</v>
      </c>
      <c r="J20" s="33">
        <f>YEARFRAC(Curve!$B$2,C20)</f>
        <v>9.4972222222222218</v>
      </c>
    </row>
    <row r="21" spans="2:10" ht="15" thickBot="1" x14ac:dyDescent="0.4">
      <c r="B21" s="23">
        <v>49216</v>
      </c>
      <c r="C21" s="24">
        <v>49398</v>
      </c>
      <c r="D21" s="25">
        <v>2.48484925823881</v>
      </c>
      <c r="E21" s="25">
        <v>2.48484925823881</v>
      </c>
      <c r="F21" s="25">
        <v>82.731948842171306</v>
      </c>
      <c r="G21" s="25">
        <v>2.97438256</v>
      </c>
      <c r="H21" s="25">
        <v>5128.9581131469004</v>
      </c>
      <c r="I21" s="26">
        <v>1000000</v>
      </c>
      <c r="J21" s="34">
        <f>YEARFRAC(Curve!$B$2,C21)</f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D2631-CB88-4635-BBB3-DB22BA68487C}">
  <dimension ref="B1:J41"/>
  <sheetViews>
    <sheetView showGridLines="0" workbookViewId="0">
      <selection activeCell="I47" sqref="I47"/>
    </sheetView>
  </sheetViews>
  <sheetFormatPr defaultRowHeight="14.5" x14ac:dyDescent="0.35"/>
  <cols>
    <col min="1" max="1" width="3.6328125" customWidth="1"/>
    <col min="2" max="4" width="12.7265625" customWidth="1"/>
    <col min="5" max="5" width="14.26953125" customWidth="1"/>
    <col min="6" max="7" width="12.7265625" customWidth="1"/>
    <col min="8" max="8" width="17" customWidth="1"/>
    <col min="9" max="9" width="12.7265625" customWidth="1"/>
    <col min="10" max="10" width="11.81640625" customWidth="1"/>
  </cols>
  <sheetData>
    <row r="1" spans="2:10" ht="15" thickBot="1" x14ac:dyDescent="0.4"/>
    <row r="2" spans="2:10" ht="21" customHeight="1" thickBot="1" x14ac:dyDescent="0.4"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36" t="s">
        <v>50</v>
      </c>
    </row>
    <row r="3" spans="2:10" x14ac:dyDescent="0.35">
      <c r="B3" s="17">
        <v>45930</v>
      </c>
      <c r="C3" s="18">
        <v>46112</v>
      </c>
      <c r="D3" s="19">
        <v>2.6402033129013298</v>
      </c>
      <c r="E3" s="19">
        <v>2.6402033129013298</v>
      </c>
      <c r="F3" s="19">
        <v>59.314455855765999</v>
      </c>
      <c r="G3" s="19">
        <v>1.8794804599999999</v>
      </c>
      <c r="H3" s="19">
        <v>138.82634658709301</v>
      </c>
      <c r="I3" s="19">
        <v>1000000</v>
      </c>
      <c r="J3" s="32">
        <f>YEARFRAC(Curve!$B$2,C3)</f>
        <v>1</v>
      </c>
    </row>
    <row r="4" spans="2:10" x14ac:dyDescent="0.35">
      <c r="B4" s="21">
        <v>46112</v>
      </c>
      <c r="C4" s="15">
        <v>46295</v>
      </c>
      <c r="D4" s="16">
        <v>2.6402033129013298</v>
      </c>
      <c r="E4" s="16">
        <v>2.6402033129013298</v>
      </c>
      <c r="F4" s="16">
        <v>66.8288940713269</v>
      </c>
      <c r="G4" s="16">
        <v>1.85750083</v>
      </c>
      <c r="H4" s="16">
        <v>365.92326131907299</v>
      </c>
      <c r="I4" s="16">
        <v>1000000</v>
      </c>
      <c r="J4" s="33">
        <f>YEARFRAC(Curve!$B$2,C4)</f>
        <v>1.5</v>
      </c>
    </row>
    <row r="5" spans="2:10" x14ac:dyDescent="0.35">
      <c r="B5" s="21">
        <v>46295</v>
      </c>
      <c r="C5" s="15">
        <v>46477</v>
      </c>
      <c r="D5" s="16">
        <v>2.6402033129013298</v>
      </c>
      <c r="E5" s="16">
        <v>2.6402033129013298</v>
      </c>
      <c r="F5" s="16">
        <v>82.455509905959801</v>
      </c>
      <c r="G5" s="16">
        <v>1.96927081</v>
      </c>
      <c r="H5" s="16">
        <v>994.60590917300703</v>
      </c>
      <c r="I5" s="16">
        <v>1000000</v>
      </c>
      <c r="J5" s="33">
        <f>YEARFRAC(Curve!$B$2,C5)</f>
        <v>2</v>
      </c>
    </row>
    <row r="6" spans="2:10" x14ac:dyDescent="0.35">
      <c r="B6" s="21">
        <v>46477</v>
      </c>
      <c r="C6" s="15">
        <v>46660</v>
      </c>
      <c r="D6" s="16">
        <v>2.6402033129013298</v>
      </c>
      <c r="E6" s="16">
        <v>2.6402033129013298</v>
      </c>
      <c r="F6" s="16">
        <v>90.315056163291501</v>
      </c>
      <c r="G6" s="16">
        <v>2.1183476799999998</v>
      </c>
      <c r="H6" s="16">
        <v>1675.08707513888</v>
      </c>
      <c r="I6" s="16">
        <v>1000000</v>
      </c>
      <c r="J6" s="33">
        <f>YEARFRAC(Curve!$B$2,C6)</f>
        <v>2.5</v>
      </c>
    </row>
    <row r="7" spans="2:10" x14ac:dyDescent="0.35">
      <c r="B7" s="21">
        <v>46660</v>
      </c>
      <c r="C7" s="15">
        <v>46843</v>
      </c>
      <c r="D7" s="16">
        <v>2.6402033129013298</v>
      </c>
      <c r="E7" s="16">
        <v>2.6402033129013298</v>
      </c>
      <c r="F7" s="16">
        <v>89.595775290818196</v>
      </c>
      <c r="G7" s="16">
        <v>2.2438381199999999</v>
      </c>
      <c r="H7" s="16">
        <v>2107.6765899577499</v>
      </c>
      <c r="I7" s="16">
        <v>1000000</v>
      </c>
      <c r="J7" s="33">
        <f>YEARFRAC(Curve!$B$2,C7)</f>
        <v>3</v>
      </c>
    </row>
    <row r="8" spans="2:10" x14ac:dyDescent="0.35">
      <c r="B8" s="21">
        <v>46843</v>
      </c>
      <c r="C8" s="15">
        <v>47025</v>
      </c>
      <c r="D8" s="16">
        <v>2.6402033129013298</v>
      </c>
      <c r="E8" s="16">
        <v>2.6402033129013298</v>
      </c>
      <c r="F8" s="16">
        <v>89.031317902121103</v>
      </c>
      <c r="G8" s="16">
        <v>2.3240577299999998</v>
      </c>
      <c r="H8" s="16">
        <v>2434.6072197296799</v>
      </c>
      <c r="I8" s="16">
        <v>1000000</v>
      </c>
      <c r="J8" s="33">
        <f>YEARFRAC(Curve!$B$2,C8)</f>
        <v>3.4972222222222222</v>
      </c>
    </row>
    <row r="9" spans="2:10" x14ac:dyDescent="0.35">
      <c r="B9" s="21">
        <v>47025</v>
      </c>
      <c r="C9" s="15">
        <v>47206</v>
      </c>
      <c r="D9" s="16">
        <v>2.6402033129013298</v>
      </c>
      <c r="E9" s="16">
        <v>2.6402033129013298</v>
      </c>
      <c r="F9" s="16">
        <v>88.636170640392294</v>
      </c>
      <c r="G9" s="16">
        <v>2.4051181499999998</v>
      </c>
      <c r="H9" s="16">
        <v>2748.59369984568</v>
      </c>
      <c r="I9" s="16">
        <v>1000000</v>
      </c>
      <c r="J9" s="33">
        <f>YEARFRAC(Curve!$B$2,C9)</f>
        <v>3.9972222222222222</v>
      </c>
    </row>
    <row r="10" spans="2:10" x14ac:dyDescent="0.35">
      <c r="B10" s="21">
        <v>47206</v>
      </c>
      <c r="C10" s="15">
        <v>47389</v>
      </c>
      <c r="D10" s="16">
        <v>2.6402033129013298</v>
      </c>
      <c r="E10" s="16">
        <v>2.6402033129013298</v>
      </c>
      <c r="F10" s="16">
        <v>87.759856469018999</v>
      </c>
      <c r="G10" s="16">
        <v>2.4948333599999999</v>
      </c>
      <c r="H10" s="16">
        <v>3096.9173415649402</v>
      </c>
      <c r="I10" s="16">
        <v>1000000</v>
      </c>
      <c r="J10" s="33">
        <f>YEARFRAC(Curve!$B$2,C10)</f>
        <v>4.4944444444444445</v>
      </c>
    </row>
    <row r="11" spans="2:10" x14ac:dyDescent="0.35">
      <c r="B11" s="21">
        <v>47389</v>
      </c>
      <c r="C11" s="15">
        <v>47571</v>
      </c>
      <c r="D11" s="16">
        <v>2.6402033129013298</v>
      </c>
      <c r="E11" s="16">
        <v>2.6402033129013298</v>
      </c>
      <c r="F11" s="16">
        <v>86.334039663074904</v>
      </c>
      <c r="G11" s="16">
        <v>2.5666587000000001</v>
      </c>
      <c r="H11" s="16">
        <v>3319.1919623565</v>
      </c>
      <c r="I11" s="16">
        <v>1000000</v>
      </c>
      <c r="J11" s="33">
        <f>YEARFRAC(Curve!$B$2,C11)</f>
        <v>4.9972222222222218</v>
      </c>
    </row>
    <row r="12" spans="2:10" x14ac:dyDescent="0.35">
      <c r="B12" s="21">
        <v>47571</v>
      </c>
      <c r="C12" s="15">
        <v>47756</v>
      </c>
      <c r="D12" s="16">
        <v>2.6402033129013298</v>
      </c>
      <c r="E12" s="16">
        <v>2.6402033129013298</v>
      </c>
      <c r="F12" s="16">
        <v>85.212575369520096</v>
      </c>
      <c r="G12" s="16">
        <v>2.6174237300000001</v>
      </c>
      <c r="H12" s="16">
        <v>3567.3748262347499</v>
      </c>
      <c r="I12" s="16">
        <v>1000000</v>
      </c>
      <c r="J12" s="33">
        <f>YEARFRAC(Curve!$B$2,C12)</f>
        <v>5.5</v>
      </c>
    </row>
    <row r="13" spans="2:10" x14ac:dyDescent="0.35">
      <c r="B13" s="21">
        <v>47756</v>
      </c>
      <c r="C13" s="15">
        <v>47938</v>
      </c>
      <c r="D13" s="16">
        <v>2.6402033129013298</v>
      </c>
      <c r="E13" s="16">
        <v>2.6402033129013298</v>
      </c>
      <c r="F13" s="16">
        <v>84.409127206807995</v>
      </c>
      <c r="G13" s="16">
        <v>2.6640139999999999</v>
      </c>
      <c r="H13" s="16">
        <v>3686.68455143439</v>
      </c>
      <c r="I13" s="16">
        <v>1000000</v>
      </c>
      <c r="J13" s="33">
        <f>YEARFRAC(Curve!$B$2,C13)</f>
        <v>6</v>
      </c>
    </row>
    <row r="14" spans="2:10" x14ac:dyDescent="0.35">
      <c r="B14" s="21">
        <v>47938</v>
      </c>
      <c r="C14" s="15">
        <v>48121</v>
      </c>
      <c r="D14" s="16">
        <v>2.6402033129013298</v>
      </c>
      <c r="E14" s="16">
        <v>2.6402033129013298</v>
      </c>
      <c r="F14" s="16">
        <v>83.434566807573304</v>
      </c>
      <c r="G14" s="16">
        <v>2.7125390399999998</v>
      </c>
      <c r="H14" s="16">
        <v>3868.6948807426302</v>
      </c>
      <c r="I14" s="16">
        <v>1000000</v>
      </c>
      <c r="J14" s="33">
        <f>YEARFRAC(Curve!$B$2,C14)</f>
        <v>6.5</v>
      </c>
    </row>
    <row r="15" spans="2:10" x14ac:dyDescent="0.35">
      <c r="B15" s="21">
        <v>48121</v>
      </c>
      <c r="C15" s="15">
        <v>48304</v>
      </c>
      <c r="D15" s="16">
        <v>2.6402033129013298</v>
      </c>
      <c r="E15" s="16">
        <v>2.6402033129013298</v>
      </c>
      <c r="F15" s="16">
        <v>82.256874730113395</v>
      </c>
      <c r="G15" s="16">
        <v>2.7648736999999999</v>
      </c>
      <c r="H15" s="16">
        <v>4015.9427216162399</v>
      </c>
      <c r="I15" s="16">
        <v>1000000</v>
      </c>
      <c r="J15" s="33">
        <f>YEARFRAC(Curve!$B$2,C15)</f>
        <v>7</v>
      </c>
    </row>
    <row r="16" spans="2:10" x14ac:dyDescent="0.35">
      <c r="B16" s="21">
        <v>48304</v>
      </c>
      <c r="C16" s="15">
        <v>48487</v>
      </c>
      <c r="D16" s="16">
        <v>2.6402033129013298</v>
      </c>
      <c r="E16" s="16">
        <v>2.6402033129013298</v>
      </c>
      <c r="F16" s="16">
        <v>81.272919150324398</v>
      </c>
      <c r="G16" s="16">
        <v>2.8194615600000001</v>
      </c>
      <c r="H16" s="16">
        <v>4165.45366157835</v>
      </c>
      <c r="I16" s="16">
        <v>1000000</v>
      </c>
      <c r="J16" s="33">
        <f>YEARFRAC(Curve!$B$2,C16)</f>
        <v>7.5</v>
      </c>
    </row>
    <row r="17" spans="2:10" x14ac:dyDescent="0.35">
      <c r="B17" s="21">
        <v>48487</v>
      </c>
      <c r="C17" s="15">
        <v>48669</v>
      </c>
      <c r="D17" s="16">
        <v>2.6402033129013298</v>
      </c>
      <c r="E17" s="16">
        <v>2.6402033129013298</v>
      </c>
      <c r="F17" s="16">
        <v>80.493584141107107</v>
      </c>
      <c r="G17" s="16">
        <v>2.8668636300000001</v>
      </c>
      <c r="H17" s="16">
        <v>4273.2709668064399</v>
      </c>
      <c r="I17" s="16">
        <v>1000000</v>
      </c>
      <c r="J17" s="33">
        <f>YEARFRAC(Curve!$B$2,C17)</f>
        <v>8</v>
      </c>
    </row>
    <row r="18" spans="2:10" x14ac:dyDescent="0.35">
      <c r="B18" s="21">
        <v>48669</v>
      </c>
      <c r="C18" s="15">
        <v>48852</v>
      </c>
      <c r="D18" s="16">
        <v>2.6402033129013298</v>
      </c>
      <c r="E18" s="16">
        <v>2.6402033129013298</v>
      </c>
      <c r="F18" s="16">
        <v>79.776032565136006</v>
      </c>
      <c r="G18" s="16">
        <v>2.9047449300000001</v>
      </c>
      <c r="H18" s="16">
        <v>4399.7864554871003</v>
      </c>
      <c r="I18" s="16">
        <v>1000000</v>
      </c>
      <c r="J18" s="33">
        <f>YEARFRAC(Curve!$B$2,C18)</f>
        <v>8.5</v>
      </c>
    </row>
    <row r="19" spans="2:10" x14ac:dyDescent="0.35">
      <c r="B19" s="21">
        <v>48852</v>
      </c>
      <c r="C19" s="15">
        <v>49034</v>
      </c>
      <c r="D19" s="16">
        <v>2.6402033129013298</v>
      </c>
      <c r="E19" s="16">
        <v>2.6402033129013298</v>
      </c>
      <c r="F19" s="16">
        <v>79.117697938387593</v>
      </c>
      <c r="G19" s="16">
        <v>2.9322542</v>
      </c>
      <c r="H19" s="16">
        <v>4448.7776783480504</v>
      </c>
      <c r="I19" s="16">
        <v>1000000</v>
      </c>
      <c r="J19" s="33">
        <f>YEARFRAC(Curve!$B$2,C19)</f>
        <v>9</v>
      </c>
    </row>
    <row r="20" spans="2:10" x14ac:dyDescent="0.35">
      <c r="B20" s="21">
        <v>49034</v>
      </c>
      <c r="C20" s="15">
        <v>49216</v>
      </c>
      <c r="D20" s="16">
        <v>2.6402033129013298</v>
      </c>
      <c r="E20" s="16">
        <v>2.6402033129013298</v>
      </c>
      <c r="F20" s="16">
        <v>78.482753673153994</v>
      </c>
      <c r="G20" s="16">
        <v>2.95180949</v>
      </c>
      <c r="H20" s="16">
        <v>4497.66258066709</v>
      </c>
      <c r="I20" s="16">
        <v>1000000</v>
      </c>
      <c r="J20" s="33">
        <f>YEARFRAC(Curve!$B$2,C20)</f>
        <v>9.4972222222222218</v>
      </c>
    </row>
    <row r="21" spans="2:10" x14ac:dyDescent="0.35">
      <c r="B21" s="21">
        <v>49216</v>
      </c>
      <c r="C21" s="15">
        <v>49398</v>
      </c>
      <c r="D21" s="16">
        <v>2.6402033129013298</v>
      </c>
      <c r="E21" s="16">
        <v>2.6402033129013298</v>
      </c>
      <c r="F21" s="16">
        <v>77.868951828676302</v>
      </c>
      <c r="G21" s="16">
        <v>2.97438256</v>
      </c>
      <c r="H21" s="16">
        <v>4547.1721246595598</v>
      </c>
      <c r="I21" s="16">
        <v>1000000</v>
      </c>
      <c r="J21" s="33">
        <f>YEARFRAC(Curve!$B$2,C21)</f>
        <v>10</v>
      </c>
    </row>
    <row r="22" spans="2:10" x14ac:dyDescent="0.35">
      <c r="B22" s="21">
        <v>49398</v>
      </c>
      <c r="C22" s="15">
        <v>49580</v>
      </c>
      <c r="D22" s="16">
        <v>2.6402033129013298</v>
      </c>
      <c r="E22" s="16">
        <v>2.6402033129013298</v>
      </c>
      <c r="F22" s="16">
        <v>77.817531754437894</v>
      </c>
      <c r="G22" s="16">
        <v>3.00054658</v>
      </c>
      <c r="H22" s="16">
        <v>4625.5363416402097</v>
      </c>
      <c r="I22" s="16">
        <v>1000000</v>
      </c>
      <c r="J22" s="33">
        <f>YEARFRAC(Curve!$B$2,C22)</f>
        <v>10.494444444444444</v>
      </c>
    </row>
    <row r="23" spans="2:10" x14ac:dyDescent="0.35">
      <c r="B23" s="21">
        <v>49580</v>
      </c>
      <c r="C23" s="15">
        <v>49765</v>
      </c>
      <c r="D23" s="16">
        <v>2.6402033129013298</v>
      </c>
      <c r="E23" s="16">
        <v>2.6402033129013298</v>
      </c>
      <c r="F23" s="16">
        <v>78.380206716669605</v>
      </c>
      <c r="G23" s="16">
        <v>3.0196078599999998</v>
      </c>
      <c r="H23" s="16">
        <v>4791.0103383720898</v>
      </c>
      <c r="I23" s="16">
        <v>1000000</v>
      </c>
      <c r="J23" s="33">
        <f>YEARFRAC(Curve!$B$2,C23)</f>
        <v>11</v>
      </c>
    </row>
    <row r="24" spans="2:10" x14ac:dyDescent="0.35">
      <c r="B24" s="21">
        <v>49765</v>
      </c>
      <c r="C24" s="15">
        <v>49948</v>
      </c>
      <c r="D24" s="16">
        <v>2.6402033129013298</v>
      </c>
      <c r="E24" s="16">
        <v>2.6402033129013298</v>
      </c>
      <c r="F24" s="16">
        <v>78.952156540916206</v>
      </c>
      <c r="G24" s="16">
        <v>3.0282361799999999</v>
      </c>
      <c r="H24" s="16">
        <v>4801.5862514063001</v>
      </c>
      <c r="I24" s="16">
        <v>1000000</v>
      </c>
      <c r="J24" s="33">
        <f>YEARFRAC(Curve!$B$2,C24)</f>
        <v>11.5</v>
      </c>
    </row>
    <row r="25" spans="2:10" x14ac:dyDescent="0.35">
      <c r="B25" s="21">
        <v>49948</v>
      </c>
      <c r="C25" s="15">
        <v>50130</v>
      </c>
      <c r="D25" s="16">
        <v>2.6402033129013298</v>
      </c>
      <c r="E25" s="16">
        <v>2.6402033129013298</v>
      </c>
      <c r="F25" s="16">
        <v>79.5179231238195</v>
      </c>
      <c r="G25" s="16">
        <v>3.0325771800000001</v>
      </c>
      <c r="H25" s="16">
        <v>4824.5009712803403</v>
      </c>
      <c r="I25" s="16">
        <v>1000000</v>
      </c>
      <c r="J25" s="33">
        <f>YEARFRAC(Curve!$B$2,C25)</f>
        <v>12</v>
      </c>
    </row>
    <row r="26" spans="2:10" x14ac:dyDescent="0.35">
      <c r="B26" s="21">
        <v>50130</v>
      </c>
      <c r="C26" s="15">
        <v>50313</v>
      </c>
      <c r="D26" s="16">
        <v>2.6402033129013298</v>
      </c>
      <c r="E26" s="16">
        <v>2.6402033129013298</v>
      </c>
      <c r="F26" s="16">
        <v>78.804277071929206</v>
      </c>
      <c r="G26" s="16">
        <v>3.03350696</v>
      </c>
      <c r="H26" s="16">
        <v>4825.0558727983598</v>
      </c>
      <c r="I26" s="16">
        <v>1000000</v>
      </c>
      <c r="J26" s="33">
        <f>YEARFRAC(Curve!$B$2,C26)</f>
        <v>12.5</v>
      </c>
    </row>
    <row r="27" spans="2:10" x14ac:dyDescent="0.35">
      <c r="B27" s="21">
        <v>50313</v>
      </c>
      <c r="C27" s="15">
        <v>50495</v>
      </c>
      <c r="D27" s="16">
        <v>2.6402033129013298</v>
      </c>
      <c r="E27" s="16">
        <v>2.6402033129013298</v>
      </c>
      <c r="F27" s="16">
        <v>76.715876091372905</v>
      </c>
      <c r="G27" s="16">
        <v>3.0274665700000001</v>
      </c>
      <c r="H27" s="16">
        <v>4685.62910448192</v>
      </c>
      <c r="I27" s="16">
        <v>1000000</v>
      </c>
      <c r="J27" s="33">
        <f>YEARFRAC(Curve!$B$2,C27)</f>
        <v>13</v>
      </c>
    </row>
    <row r="28" spans="2:10" x14ac:dyDescent="0.35">
      <c r="B28" s="21">
        <v>50495</v>
      </c>
      <c r="C28" s="15">
        <v>50678</v>
      </c>
      <c r="D28" s="16">
        <v>2.6402033129013298</v>
      </c>
      <c r="E28" s="16">
        <v>2.6402033129013298</v>
      </c>
      <c r="F28" s="16">
        <v>74.6388871380328</v>
      </c>
      <c r="G28" s="16">
        <v>3.0138065300000001</v>
      </c>
      <c r="H28" s="16">
        <v>4580.4680876640696</v>
      </c>
      <c r="I28" s="16">
        <v>1000000</v>
      </c>
      <c r="J28" s="33">
        <f>YEARFRAC(Curve!$B$2,C28)</f>
        <v>13.5</v>
      </c>
    </row>
    <row r="29" spans="2:10" x14ac:dyDescent="0.35">
      <c r="B29" s="21">
        <v>50678</v>
      </c>
      <c r="C29" s="15">
        <v>50860</v>
      </c>
      <c r="D29" s="16">
        <v>2.6402033129013298</v>
      </c>
      <c r="E29" s="16">
        <v>2.6402033129013298</v>
      </c>
      <c r="F29" s="16">
        <v>72.550486157476399</v>
      </c>
      <c r="G29" s="16">
        <v>2.9915806300000001</v>
      </c>
      <c r="H29" s="16">
        <v>4406.4322842081201</v>
      </c>
      <c r="I29" s="16">
        <v>1000000</v>
      </c>
      <c r="J29" s="33">
        <f>YEARFRAC(Curve!$B$2,C29)</f>
        <v>14</v>
      </c>
    </row>
    <row r="30" spans="2:10" x14ac:dyDescent="0.35">
      <c r="B30" s="21">
        <v>50860</v>
      </c>
      <c r="C30" s="15">
        <v>51043</v>
      </c>
      <c r="D30" s="16">
        <v>2.6402033129013298</v>
      </c>
      <c r="E30" s="16">
        <v>2.6402033129013298</v>
      </c>
      <c r="F30" s="16">
        <v>70.473497204136194</v>
      </c>
      <c r="G30" s="16">
        <v>2.9608051400000002</v>
      </c>
      <c r="H30" s="16">
        <v>4264.5817308437099</v>
      </c>
      <c r="I30" s="16">
        <v>1000000</v>
      </c>
      <c r="J30" s="33">
        <f>YEARFRAC(Curve!$B$2,C30)</f>
        <v>14.5</v>
      </c>
    </row>
    <row r="31" spans="2:10" x14ac:dyDescent="0.35">
      <c r="B31" s="21">
        <v>51043</v>
      </c>
      <c r="C31" s="15">
        <v>51224</v>
      </c>
      <c r="D31" s="16">
        <v>2.6402033129013298</v>
      </c>
      <c r="E31" s="16">
        <v>2.6402033129013298</v>
      </c>
      <c r="F31" s="16">
        <v>68.385096223579893</v>
      </c>
      <c r="G31" s="16">
        <v>2.9205470500000001</v>
      </c>
      <c r="H31" s="16">
        <v>4035.9259329612901</v>
      </c>
      <c r="I31" s="16">
        <v>1000000</v>
      </c>
      <c r="J31" s="33">
        <f>YEARFRAC(Curve!$B$2,C31)</f>
        <v>14.997222222222222</v>
      </c>
    </row>
    <row r="32" spans="2:10" x14ac:dyDescent="0.35">
      <c r="B32" s="21">
        <v>51224</v>
      </c>
      <c r="C32" s="15">
        <v>51407</v>
      </c>
      <c r="D32" s="16">
        <v>2.6402033129013298</v>
      </c>
      <c r="E32" s="16">
        <v>2.6402033129013298</v>
      </c>
      <c r="F32" s="16">
        <v>67.621362610087203</v>
      </c>
      <c r="G32" s="16">
        <v>2.87269496</v>
      </c>
      <c r="H32" s="16">
        <v>3953.9984444012498</v>
      </c>
      <c r="I32" s="16">
        <v>1000000</v>
      </c>
      <c r="J32" s="33">
        <f>YEARFRAC(Curve!$B$2,C32)</f>
        <v>15.494444444444444</v>
      </c>
    </row>
    <row r="33" spans="2:10" x14ac:dyDescent="0.35">
      <c r="B33" s="21">
        <v>51407</v>
      </c>
      <c r="C33" s="15">
        <v>51589</v>
      </c>
      <c r="D33" s="16">
        <v>2.6402033129013298</v>
      </c>
      <c r="E33" s="16">
        <v>2.6402033129013298</v>
      </c>
      <c r="F33" s="16">
        <v>68.271321700928695</v>
      </c>
      <c r="G33" s="16">
        <v>2.82302754</v>
      </c>
      <c r="H33" s="16">
        <v>3879.9442785555102</v>
      </c>
      <c r="I33" s="16">
        <v>1000000</v>
      </c>
      <c r="J33" s="33">
        <f>YEARFRAC(Curve!$B$2,C33)</f>
        <v>15.997222222222222</v>
      </c>
    </row>
    <row r="34" spans="2:10" x14ac:dyDescent="0.35">
      <c r="B34" s="21">
        <v>51589</v>
      </c>
      <c r="C34" s="15">
        <v>51774</v>
      </c>
      <c r="D34" s="16">
        <v>2.6402033129013298</v>
      </c>
      <c r="E34" s="16">
        <v>2.6402033129013298</v>
      </c>
      <c r="F34" s="16">
        <v>68.917729102749107</v>
      </c>
      <c r="G34" s="16">
        <v>2.7741572099999998</v>
      </c>
      <c r="H34" s="16">
        <v>3895.0445963887701</v>
      </c>
      <c r="I34" s="16">
        <v>1000000</v>
      </c>
      <c r="J34" s="33">
        <f>YEARFRAC(Curve!$B$2,C34)</f>
        <v>16.5</v>
      </c>
    </row>
    <row r="35" spans="2:10" x14ac:dyDescent="0.35">
      <c r="B35" s="21">
        <v>51774</v>
      </c>
      <c r="C35" s="15">
        <v>51956</v>
      </c>
      <c r="D35" s="16">
        <v>2.6402033129013298</v>
      </c>
      <c r="E35" s="16">
        <v>2.6402033129013298</v>
      </c>
      <c r="F35" s="16">
        <v>69.574791571632602</v>
      </c>
      <c r="G35" s="16">
        <v>2.7254247199999999</v>
      </c>
      <c r="H35" s="16">
        <v>3787.5110460160699</v>
      </c>
      <c r="I35" s="16">
        <v>1000000</v>
      </c>
      <c r="J35" s="33">
        <f>YEARFRAC(Curve!$B$2,C35)</f>
        <v>17</v>
      </c>
    </row>
    <row r="36" spans="2:10" x14ac:dyDescent="0.35">
      <c r="B36" s="21">
        <v>51956</v>
      </c>
      <c r="C36" s="15">
        <v>52139</v>
      </c>
      <c r="D36" s="16">
        <v>2.6402033129013298</v>
      </c>
      <c r="E36" s="16">
        <v>2.6402033129013298</v>
      </c>
      <c r="F36" s="16">
        <v>70.221198973452999</v>
      </c>
      <c r="G36" s="16">
        <v>2.6782914</v>
      </c>
      <c r="H36" s="16">
        <v>3768.45874781262</v>
      </c>
      <c r="I36" s="16">
        <v>1000000</v>
      </c>
      <c r="J36" s="33">
        <f>YEARFRAC(Curve!$B$2,C36)</f>
        <v>17.5</v>
      </c>
    </row>
    <row r="37" spans="2:10" x14ac:dyDescent="0.35">
      <c r="B37" s="21">
        <v>52139</v>
      </c>
      <c r="C37" s="15">
        <v>52321</v>
      </c>
      <c r="D37" s="16">
        <v>2.6402033129013298</v>
      </c>
      <c r="E37" s="16">
        <v>2.6402033129013298</v>
      </c>
      <c r="F37" s="16">
        <v>70.871158064294505</v>
      </c>
      <c r="G37" s="16">
        <v>2.6320170900000002</v>
      </c>
      <c r="H37" s="16">
        <v>3712.1512988589502</v>
      </c>
      <c r="I37" s="16">
        <v>1000000</v>
      </c>
      <c r="J37" s="33">
        <f>YEARFRAC(Curve!$B$2,C37)</f>
        <v>18</v>
      </c>
    </row>
    <row r="38" spans="2:10" x14ac:dyDescent="0.35">
      <c r="B38" s="21">
        <v>52321</v>
      </c>
      <c r="C38" s="15">
        <v>52504</v>
      </c>
      <c r="D38" s="16">
        <v>2.6402033129013298</v>
      </c>
      <c r="E38" s="16">
        <v>2.6402033129013298</v>
      </c>
      <c r="F38" s="16">
        <v>71.517565466114903</v>
      </c>
      <c r="G38" s="16">
        <v>2.58714098</v>
      </c>
      <c r="H38" s="16">
        <v>3700.81100589058</v>
      </c>
      <c r="I38" s="16">
        <v>1000000</v>
      </c>
      <c r="J38" s="33">
        <f>YEARFRAC(Curve!$B$2,C38)</f>
        <v>18.5</v>
      </c>
    </row>
    <row r="39" spans="2:10" x14ac:dyDescent="0.35">
      <c r="B39" s="21">
        <v>52504</v>
      </c>
      <c r="C39" s="15">
        <v>52687</v>
      </c>
      <c r="D39" s="16">
        <v>2.6402033129013298</v>
      </c>
      <c r="E39" s="16">
        <v>2.6402033129013298</v>
      </c>
      <c r="F39" s="16">
        <v>72.167524556956394</v>
      </c>
      <c r="G39" s="16">
        <v>2.5434053200000002</v>
      </c>
      <c r="H39" s="16">
        <v>3672.66122934024</v>
      </c>
      <c r="I39" s="16">
        <v>1000000</v>
      </c>
      <c r="J39" s="33">
        <f>YEARFRAC(Curve!$B$2,C39)</f>
        <v>19</v>
      </c>
    </row>
    <row r="40" spans="2:10" x14ac:dyDescent="0.35">
      <c r="B40" s="21">
        <v>52687</v>
      </c>
      <c r="C40" s="15">
        <v>52870</v>
      </c>
      <c r="D40" s="16">
        <v>2.6402033129013298</v>
      </c>
      <c r="E40" s="16">
        <v>2.6402033129013298</v>
      </c>
      <c r="F40" s="16">
        <v>72.8174836477979</v>
      </c>
      <c r="G40" s="16">
        <v>2.5011828299999999</v>
      </c>
      <c r="H40" s="16">
        <v>3648.76508800703</v>
      </c>
      <c r="I40" s="16">
        <v>1000000</v>
      </c>
      <c r="J40" s="33">
        <f>YEARFRAC(Curve!$B$2,C40)</f>
        <v>19.5</v>
      </c>
    </row>
    <row r="41" spans="2:10" ht="15" thickBot="1" x14ac:dyDescent="0.4">
      <c r="B41" s="23">
        <v>52870</v>
      </c>
      <c r="C41" s="24">
        <v>53052</v>
      </c>
      <c r="D41" s="25">
        <v>2.6402033129013298</v>
      </c>
      <c r="E41" s="25">
        <v>2.6402033129013298</v>
      </c>
      <c r="F41" s="25">
        <v>73.467442738639306</v>
      </c>
      <c r="G41" s="25">
        <v>2.4606500699999998</v>
      </c>
      <c r="H41" s="25">
        <v>3608.98361388584</v>
      </c>
      <c r="I41" s="25">
        <v>1000000</v>
      </c>
      <c r="J41" s="34">
        <f>YEARFRAC(Curve!$B$2,C41)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Curve</vt:lpstr>
      <vt:lpstr>Template</vt:lpstr>
      <vt:lpstr>CAP0</vt:lpstr>
      <vt:lpstr>CAP1</vt:lpstr>
      <vt:lpstr>CAP2</vt:lpstr>
      <vt:lpstr>CAP3</vt:lpstr>
      <vt:lpstr>CAP4</vt:lpstr>
      <vt:lpstr>CAP5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Marchesi Selma</dc:creator>
  <cp:lastModifiedBy>Pablo Marchesi Selma</cp:lastModifiedBy>
  <dcterms:created xsi:type="dcterms:W3CDTF">2025-05-07T08:52:46Z</dcterms:created>
  <dcterms:modified xsi:type="dcterms:W3CDTF">2025-09-10T13:40:39Z</dcterms:modified>
</cp:coreProperties>
</file>