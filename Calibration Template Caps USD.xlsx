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312" documentId="8_{00F85499-E803-408C-8FFB-B6A833A2FC2B}" xr6:coauthVersionLast="47" xr6:coauthVersionMax="47" xr10:uidLastSave="{59A869A5-BFA3-45A5-BE59-F5A0B06A7B72}"/>
  <bookViews>
    <workbookView xWindow="-110" yWindow="-110" windowWidth="19420" windowHeight="11500" xr2:uid="{00000000-000D-0000-FFFF-FFFF00000000}"/>
  </bookViews>
  <sheets>
    <sheet name="Curve" sheetId="2" r:id="rId1"/>
    <sheet name="Template" sheetId="3" r:id="rId2"/>
    <sheet name="CAP0" sheetId="11" r:id="rId3"/>
    <sheet name="CAP1" sheetId="4" r:id="rId4"/>
    <sheet name="CAP2" sheetId="6" r:id="rId5"/>
    <sheet name="CAP3" sheetId="7" r:id="rId6"/>
    <sheet name="CAP4" sheetId="8" r:id="rId7"/>
    <sheet name="CAP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J3" i="11"/>
  <c r="D2" i="3"/>
  <c r="J4" i="4"/>
  <c r="J5" i="4"/>
  <c r="D6" i="3"/>
  <c r="C6" i="3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D5" i="3"/>
  <c r="C5" i="3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D4" i="3"/>
  <c r="C4" i="3"/>
  <c r="J3" i="7"/>
  <c r="J4" i="7"/>
  <c r="J5" i="7"/>
  <c r="J6" i="7"/>
  <c r="J7" i="7"/>
  <c r="J8" i="7"/>
  <c r="J9" i="7"/>
  <c r="J10" i="7"/>
  <c r="J11" i="7"/>
  <c r="D3" i="3"/>
  <c r="C3" i="3"/>
  <c r="C2" i="3"/>
  <c r="J3" i="6"/>
  <c r="J4" i="6"/>
  <c r="J5" i="6"/>
  <c r="J6" i="6"/>
  <c r="J7" i="6"/>
  <c r="J3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A2" i="3" l="1"/>
  <c r="A4" i="3"/>
  <c r="F3" i="3" a="1"/>
  <c r="F3" i="3" s="1"/>
  <c r="F2" i="3" a="1"/>
  <c r="F2" i="3" s="1"/>
  <c r="F4" i="3" a="1"/>
  <c r="F6" i="3" a="1"/>
  <c r="F5" i="3" a="1"/>
  <c r="A6" i="3"/>
  <c r="A3" i="3"/>
  <c r="A5" i="3"/>
  <c r="E3" i="3" l="1"/>
  <c r="E2" i="3"/>
  <c r="F5" i="3"/>
  <c r="E5" i="3"/>
  <c r="F6" i="3"/>
  <c r="E6" i="3"/>
  <c r="F4" i="3"/>
  <c r="E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<sst xmlns="http://schemas.openxmlformats.org/spreadsheetml/2006/main" count="96" uniqueCount="49">
  <si>
    <t>Tenor</t>
  </si>
  <si>
    <t>End Date</t>
  </si>
  <si>
    <t>Discount Factor</t>
  </si>
  <si>
    <t>0D</t>
  </si>
  <si>
    <t>1D</t>
  </si>
  <si>
    <t>1W</t>
  </si>
  <si>
    <t>2W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</si>
  <si>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</si>
  <si>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</si>
  <si>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</si>
  <si>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</si>
  <si>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</si>
  <si>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</si>
  <si>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</si>
  <si>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</si>
  <si>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</si>
  <si>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</si>
  <si>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</si>
  <si>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</si>
  <si>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</si>
  <si>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</si>
  <si>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</si>
  <si>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</si>
  <si>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</si>
  <si>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</si>
  <si>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</si>
  <si>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</si>
  <si>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</si>
  <si>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</si>
  <si>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</si>
  <si>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</si>
  <si>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</si>
  <si>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</si>
  <si>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</si>
  <si>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</si>
  <si>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</si>
  <si>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Year Frac.</t>
  </si>
  <si>
    <t>Start Date</t>
  </si>
  <si>
    <t>Pay Date</t>
  </si>
  <si>
    <t>Strike %</t>
  </si>
  <si>
    <t>ATM Strike %</t>
  </si>
  <si>
    <t>Vol bp</t>
  </si>
  <si>
    <t>Forward %</t>
  </si>
  <si>
    <t>Dates</t>
  </si>
  <si>
    <t>Notional</t>
  </si>
  <si>
    <t>Price</t>
  </si>
  <si>
    <t>Strike</t>
  </si>
  <si>
    <t>Premium USD</t>
  </si>
  <si>
    <t>Notional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</si>
</sst>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;@"/>
    <numFmt numFmtId="166" formatCode="0.0000"/>
    <numFmt numFmtId="167" formatCode="mmm\ d\,\ yyyy"/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  <fill>
      <patternFill patternType="gray125">
        <fgColor rgb="FF000000"/>
        <bgColor rgb="FFFAE600"/>
      </patternFill>
    </fill>
    <fill>
      <patternFill patternType="gray125">
        <fgColor rgb="FF000000"/>
        <bgColor rgb="FFFFF9E7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167" fontId="2" fillId="3" borderId="0" xfId="2" applyNumberFormat="1" applyBorder="1">
      <alignment horizontal="center" vertical="center"/>
    </xf>
    <xf numFmtId="4" fontId="2" fillId="3" borderId="0" xfId="2" applyNumberFormat="1" applyBorder="1">
      <alignment horizontal="center" vertical="center"/>
    </xf>
    <xf numFmtId="167" fontId="2" fillId="3" borderId="3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5" xfId="2" applyNumberFormat="1" applyBorder="1">
      <alignment horizontal="center" vertical="center"/>
    </xf>
    <xf numFmtId="167" fontId="2" fillId="3" borderId="6" xfId="2" applyNumberFormat="1" applyBorder="1">
      <alignment horizontal="center" vertical="center"/>
    </xf>
    <xf numFmtId="4" fontId="2" fillId="3" borderId="7" xfId="2" applyNumberFormat="1" applyBorder="1">
      <alignment horizontal="center" vertical="center"/>
    </xf>
    <xf numFmtId="167" fontId="2" fillId="3" borderId="8" xfId="2" applyNumberFormat="1" applyBorder="1">
      <alignment horizontal="center" vertical="center"/>
    </xf>
    <xf numFmtId="167" fontId="2" fillId="3" borderId="9" xfId="2" applyNumberFormat="1" applyBorder="1">
      <alignment horizontal="center" vertical="center"/>
    </xf>
    <xf numFmtId="4" fontId="2" fillId="3" borderId="9" xfId="2" applyNumberFormat="1" applyBorder="1">
      <alignment horizontal="center" vertical="center"/>
    </xf>
    <xf numFmtId="4" fontId="2" fillId="3" borderId="10" xfId="2" applyNumberFormat="1" applyBorder="1">
      <alignment horizontal="center" vertical="center"/>
    </xf>
    <xf numFmtId="167" fontId="2" fillId="3" borderId="14" xfId="2" applyNumberFormat="1" applyBorder="1">
      <alignment horizontal="center" vertical="center"/>
    </xf>
    <xf numFmtId="167" fontId="2" fillId="3" borderId="15" xfId="2" applyNumberFormat="1" applyBorder="1">
      <alignment horizontal="center" vertical="center"/>
    </xf>
    <xf numFmtId="4" fontId="2" fillId="3" borderId="15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3" fillId="4" borderId="2" xfId="1" applyFill="1">
      <alignment horizontal="center" vertical="center" wrapText="1"/>
    </xf>
    <xf numFmtId="168" fontId="2" fillId="5" borderId="12" xfId="2" applyNumberFormat="1" applyFill="1" applyBorder="1">
      <alignment horizontal="center" vertical="center"/>
    </xf>
    <xf numFmtId="168" fontId="2" fillId="5" borderId="11" xfId="2" applyNumberFormat="1" applyFill="1" applyBorder="1">
      <alignment horizontal="center" vertical="center"/>
    </xf>
    <xf numFmtId="168" fontId="2" fillId="5" borderId="13" xfId="2" applyNumberFormat="1" applyFill="1" applyBorder="1">
      <alignment horizontal="center" vertical="center"/>
    </xf>
    <xf numFmtId="168" fontId="2" fillId="5" borderId="2" xfId="2" applyNumberFormat="1" applyFill="1" applyBorder="1">
      <alignment horizontal="center" vertical="center"/>
    </xf>
    <xf numFmtId="0" fontId="3" fillId="4" borderId="12" xfId="1" applyFill="1" applyBorder="1">
      <alignment horizontal="center" vertical="center" wrapText="1"/>
    </xf>
    <xf numFmtId="0" fontId="2" fillId="3" borderId="14" xfId="2" applyNumberFormat="1" applyBorder="1">
      <alignment horizontal="center" vertical="center"/>
    </xf>
    <xf numFmtId="1" fontId="2" fillId="3" borderId="3" xfId="2" applyNumberFormat="1" applyBorder="1">
      <alignment horizontal="center" vertical="center"/>
    </xf>
    <xf numFmtId="3" fontId="2" fillId="3" borderId="4" xfId="2" applyNumberFormat="1" applyBorder="1">
      <alignment horizontal="center" vertical="center"/>
    </xf>
    <xf numFmtId="3" fontId="2" fillId="3" borderId="15" xfId="2" applyNumberFormat="1" applyBorder="1">
      <alignment horizontal="center" vertical="center"/>
    </xf>
    <xf numFmtId="2" fontId="0" fillId="0" borderId="0" xfId="0" applyNumberFormat="1"/>
    <xf numFmtId="2" fontId="2" fillId="3" borderId="15" xfId="2" applyNumberFormat="1" applyBorder="1">
      <alignment horizontal="center" vertical="center"/>
    </xf>
    <xf numFmtId="2" fontId="2" fillId="3" borderId="16" xfId="2" applyNumberFormat="1" applyBorder="1">
      <alignment horizontal="center" vertical="center"/>
    </xf>
    <xf numFmtId="0" fontId="3" fillId="2" borderId="12" xfId="1" applyBorder="1">
      <alignment horizontal="center" vertical="center" wrapText="1"/>
    </xf>
    <xf numFmtId="3" fontId="2" fillId="3" borderId="0" xfId="2" applyNumberFormat="1" applyBorder="1">
      <alignment horizontal="center" vertical="center"/>
    </xf>
    <xf numFmtId="0" fontId="3" fillId="2" borderId="3" xfId="1" applyBorder="1">
      <alignment horizontal="center" vertical="center" wrapText="1"/>
    </xf>
    <xf numFmtId="166" fontId="2" fillId="3" borderId="15" xfId="3" applyNumberFormat="1" applyFont="1" applyFill="1" applyBorder="1" applyAlignment="1">
      <alignment horizontal="center" vertical="center"/>
    </xf>
    <xf numFmtId="166" fontId="2" fillId="3" borderId="0" xfId="3" applyNumberFormat="1" applyFont="1" applyFill="1" applyBorder="1" applyAlignment="1">
      <alignment horizontal="center" vertical="center"/>
    </xf>
    <xf numFmtId="166" fontId="2" fillId="3" borderId="4" xfId="3" applyNumberFormat="1" applyFont="1" applyFill="1" applyBorder="1" applyAlignment="1">
      <alignment horizontal="center" vertical="center"/>
    </xf>
  </cellXfs>
  <cellStyles count="4">
    <cellStyle name="Cuerpo" xfId="2" xr:uid="{716B5A63-F772-49BA-A40D-0006FEFFEFF4}"/>
    <cellStyle name="Normal" xfId="0" builtinId="0"/>
    <cellStyle name="Percent" xfId="3" builtinId="5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tabSelected="1" zoomScale="85" workbookViewId="0">
      <selection activeCell="D34" sqref="A2:D34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36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9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0.99987751500441202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0.99891732382446796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0.998081254597594</v>
      </c>
    </row>
    <row r="6" spans="1:6" x14ac:dyDescent="0.35">
      <c r="A6" s="6" t="s">
        <v>7</v>
      </c>
      <c r="B6" s="7">
        <v>45779</v>
      </c>
      <c r="C6" s="13">
        <f t="shared" si="0"/>
        <v>8.8888888888888892E-2</v>
      </c>
      <c r="D6" s="8">
        <v>0.99617030425906605</v>
      </c>
    </row>
    <row r="7" spans="1:6" x14ac:dyDescent="0.35">
      <c r="A7" s="6" t="s">
        <v>8</v>
      </c>
      <c r="B7" s="7">
        <v>45810</v>
      </c>
      <c r="C7" s="13">
        <f t="shared" si="0"/>
        <v>0.17222222222222222</v>
      </c>
      <c r="D7" s="8">
        <v>0.99251318370949804</v>
      </c>
    </row>
    <row r="8" spans="1:6" x14ac:dyDescent="0.35">
      <c r="A8" s="6" t="s">
        <v>9</v>
      </c>
      <c r="B8" s="7">
        <v>45840</v>
      </c>
      <c r="C8" s="13">
        <f t="shared" si="0"/>
        <v>0.25555555555555554</v>
      </c>
      <c r="D8" s="8">
        <v>0.98903748024643601</v>
      </c>
    </row>
    <row r="9" spans="1:6" x14ac:dyDescent="0.35">
      <c r="A9" s="6" t="s">
        <v>10</v>
      </c>
      <c r="B9" s="7">
        <v>45873</v>
      </c>
      <c r="C9" s="13">
        <f t="shared" si="0"/>
        <v>0.34444444444444444</v>
      </c>
      <c r="D9" s="8">
        <v>0.98533045478676395</v>
      </c>
    </row>
    <row r="10" spans="1:6" x14ac:dyDescent="0.35">
      <c r="A10" s="6" t="s">
        <v>11</v>
      </c>
      <c r="B10" s="7">
        <v>45902</v>
      </c>
      <c r="C10" s="13">
        <f t="shared" si="0"/>
        <v>0.42222222222222222</v>
      </c>
      <c r="D10" s="8">
        <v>0.98215615626461705</v>
      </c>
    </row>
    <row r="11" spans="1:6" x14ac:dyDescent="0.35">
      <c r="A11" s="6" t="s">
        <v>12</v>
      </c>
      <c r="B11" s="7">
        <v>45932</v>
      </c>
      <c r="C11" s="13">
        <f t="shared" si="0"/>
        <v>0.50555555555555554</v>
      </c>
      <c r="D11" s="8">
        <v>0.97894560226857297</v>
      </c>
    </row>
    <row r="12" spans="1:6" x14ac:dyDescent="0.35">
      <c r="A12" s="6" t="s">
        <v>13</v>
      </c>
      <c r="B12" s="7">
        <v>45964</v>
      </c>
      <c r="C12" s="13">
        <f t="shared" si="0"/>
        <v>0.59166666666666667</v>
      </c>
      <c r="D12" s="8">
        <v>0.97562129083676297</v>
      </c>
    </row>
    <row r="13" spans="1:6" x14ac:dyDescent="0.35">
      <c r="A13" s="6" t="s">
        <v>14</v>
      </c>
      <c r="B13" s="7">
        <v>45993</v>
      </c>
      <c r="C13" s="13">
        <f t="shared" si="0"/>
        <v>0.67222222222222228</v>
      </c>
      <c r="D13" s="8">
        <v>0.97267103342220795</v>
      </c>
    </row>
    <row r="14" spans="1:6" x14ac:dyDescent="0.35">
      <c r="A14" s="6" t="s">
        <v>15</v>
      </c>
      <c r="B14" s="7">
        <v>46024</v>
      </c>
      <c r="C14" s="13">
        <f t="shared" si="0"/>
        <v>0.75555555555555554</v>
      </c>
      <c r="D14" s="8">
        <v>0.96959667414044204</v>
      </c>
    </row>
    <row r="15" spans="1:6" x14ac:dyDescent="0.35">
      <c r="A15" s="6" t="s">
        <v>16</v>
      </c>
      <c r="B15" s="7">
        <v>46055</v>
      </c>
      <c r="C15" s="13">
        <f t="shared" si="0"/>
        <v>0.83888888888888891</v>
      </c>
      <c r="D15" s="8">
        <v>0.96656865757023203</v>
      </c>
    </row>
    <row r="16" spans="1:6" x14ac:dyDescent="0.35">
      <c r="A16" s="6" t="s">
        <v>17</v>
      </c>
      <c r="B16" s="7">
        <v>46083</v>
      </c>
      <c r="C16" s="13">
        <f t="shared" si="0"/>
        <v>0.92222222222222228</v>
      </c>
      <c r="D16" s="8">
        <v>0.96388291060902898</v>
      </c>
    </row>
    <row r="17" spans="1:4" x14ac:dyDescent="0.35">
      <c r="A17" s="6" t="s">
        <v>18</v>
      </c>
      <c r="B17" s="7">
        <v>46114</v>
      </c>
      <c r="C17" s="13">
        <f t="shared" si="0"/>
        <v>1.0055555555555555</v>
      </c>
      <c r="D17" s="8">
        <v>0.96094559315518302</v>
      </c>
    </row>
    <row r="18" spans="1:4" x14ac:dyDescent="0.35">
      <c r="A18" s="6" t="s">
        <v>19</v>
      </c>
      <c r="B18" s="7">
        <v>46297</v>
      </c>
      <c r="C18" s="13">
        <f t="shared" si="0"/>
        <v>1.5055555555555555</v>
      </c>
      <c r="D18" s="8">
        <v>0.94424848340128098</v>
      </c>
    </row>
    <row r="19" spans="1:4" x14ac:dyDescent="0.35">
      <c r="A19" s="6" t="s">
        <v>20</v>
      </c>
      <c r="B19" s="7">
        <v>46479</v>
      </c>
      <c r="C19" s="13">
        <f t="shared" si="0"/>
        <v>2.0055555555555555</v>
      </c>
      <c r="D19" s="8">
        <v>0.92812409323377798</v>
      </c>
    </row>
    <row r="20" spans="1:4" x14ac:dyDescent="0.35">
      <c r="A20" s="6" t="s">
        <v>21</v>
      </c>
      <c r="B20" s="7">
        <v>46846</v>
      </c>
      <c r="C20" s="13">
        <f t="shared" si="0"/>
        <v>3.0083333333333333</v>
      </c>
      <c r="D20" s="8">
        <v>0.89587643435548003</v>
      </c>
    </row>
    <row r="21" spans="1:4" x14ac:dyDescent="0.35">
      <c r="A21" s="6" t="s">
        <v>22</v>
      </c>
      <c r="B21" s="7">
        <v>47210</v>
      </c>
      <c r="C21" s="13">
        <f t="shared" si="0"/>
        <v>4.0055555555555555</v>
      </c>
      <c r="D21" s="8">
        <v>0.86413933739458304</v>
      </c>
    </row>
    <row r="22" spans="1:4" x14ac:dyDescent="0.35">
      <c r="A22" s="6" t="s">
        <v>23</v>
      </c>
      <c r="B22" s="7">
        <v>47575</v>
      </c>
      <c r="C22" s="13">
        <f t="shared" si="0"/>
        <v>5.0055555555555555</v>
      </c>
      <c r="D22" s="8">
        <v>0.83269140058128799</v>
      </c>
    </row>
    <row r="23" spans="1:4" x14ac:dyDescent="0.35">
      <c r="A23" s="6" t="s">
        <v>24</v>
      </c>
      <c r="B23" s="7">
        <v>47940</v>
      </c>
      <c r="C23" s="13">
        <f t="shared" si="0"/>
        <v>6.0055555555555555</v>
      </c>
      <c r="D23" s="8">
        <v>0.801569300381754</v>
      </c>
    </row>
    <row r="24" spans="1:4" x14ac:dyDescent="0.35">
      <c r="A24" s="6" t="s">
        <v>25</v>
      </c>
      <c r="B24" s="7">
        <v>48306</v>
      </c>
      <c r="C24" s="13">
        <f t="shared" si="0"/>
        <v>7.0055555555555555</v>
      </c>
      <c r="D24" s="8">
        <v>0.77107444544169201</v>
      </c>
    </row>
    <row r="25" spans="1:4" x14ac:dyDescent="0.35">
      <c r="A25" s="6" t="s">
        <v>26</v>
      </c>
      <c r="B25" s="7">
        <v>48673</v>
      </c>
      <c r="C25" s="13">
        <f t="shared" si="0"/>
        <v>8.0111111111111111</v>
      </c>
      <c r="D25" s="8">
        <v>0.74127600773351998</v>
      </c>
    </row>
    <row r="26" spans="1:4" x14ac:dyDescent="0.35">
      <c r="A26" s="6" t="s">
        <v>27</v>
      </c>
      <c r="B26" s="7">
        <v>49037</v>
      </c>
      <c r="C26" s="13">
        <f t="shared" si="0"/>
        <v>9.0083333333333329</v>
      </c>
      <c r="D26" s="8">
        <v>0.71250077016743296</v>
      </c>
    </row>
    <row r="27" spans="1:4" x14ac:dyDescent="0.35">
      <c r="A27" s="6" t="s">
        <v>28</v>
      </c>
      <c r="B27" s="7">
        <v>49401</v>
      </c>
      <c r="C27" s="13">
        <f t="shared" si="0"/>
        <v>10.005555555555556</v>
      </c>
      <c r="D27" s="8">
        <v>0.68438301624348596</v>
      </c>
    </row>
    <row r="28" spans="1:4" x14ac:dyDescent="0.35">
      <c r="A28" s="6" t="s">
        <v>29</v>
      </c>
      <c r="B28" s="7">
        <v>50132</v>
      </c>
      <c r="C28" s="13">
        <f t="shared" si="0"/>
        <v>12.005555555555556</v>
      </c>
      <c r="D28" s="8">
        <v>0.63013234136521201</v>
      </c>
    </row>
    <row r="29" spans="1:4" x14ac:dyDescent="0.35">
      <c r="A29" s="6" t="s">
        <v>30</v>
      </c>
      <c r="B29" s="7">
        <v>51228</v>
      </c>
      <c r="C29" s="13">
        <f t="shared" si="0"/>
        <v>15.005555555555556</v>
      </c>
      <c r="D29" s="8">
        <v>0.55573133390597196</v>
      </c>
    </row>
    <row r="30" spans="1:4" x14ac:dyDescent="0.35">
      <c r="A30" s="6" t="s">
        <v>31</v>
      </c>
      <c r="B30" s="7">
        <v>53055</v>
      </c>
      <c r="C30" s="13">
        <f t="shared" si="0"/>
        <v>20.008333333333333</v>
      </c>
      <c r="D30" s="8">
        <v>0.45401860455470899</v>
      </c>
    </row>
    <row r="31" spans="1:4" x14ac:dyDescent="0.35">
      <c r="A31" s="6" t="s">
        <v>32</v>
      </c>
      <c r="B31" s="7">
        <v>54882</v>
      </c>
      <c r="C31" s="13">
        <f t="shared" si="0"/>
        <v>25.011111111111113</v>
      </c>
      <c r="D31" s="8">
        <v>0.37911623416725299</v>
      </c>
    </row>
    <row r="32" spans="1:4" x14ac:dyDescent="0.35">
      <c r="A32" s="6" t="s">
        <v>33</v>
      </c>
      <c r="B32" s="7">
        <v>56706</v>
      </c>
      <c r="C32" s="13">
        <f t="shared" si="0"/>
        <v>30.005555555555556</v>
      </c>
      <c r="D32" s="8">
        <v>0.32307063288406901</v>
      </c>
    </row>
    <row r="33" spans="1:4" x14ac:dyDescent="0.35">
      <c r="A33" s="6" t="s">
        <v>34</v>
      </c>
      <c r="B33" s="7">
        <v>60359</v>
      </c>
      <c r="C33" s="13">
        <f t="shared" si="0"/>
        <v>40.005555555555553</v>
      </c>
      <c r="D33" s="8">
        <v>0.249529576361148</v>
      </c>
    </row>
    <row r="34" spans="1:4" x14ac:dyDescent="0.35">
      <c r="A34" s="6" t="s">
        <v>35</v>
      </c>
      <c r="B34" s="7">
        <v>64011</v>
      </c>
      <c r="C34" s="13">
        <f t="shared" si="0"/>
        <v>50.005555555555553</v>
      </c>
      <c r="D34" s="8">
        <v>0.21055920983687401</v>
      </c>
    </row>
    <row r="35" spans="1:4" x14ac:dyDescent="0.35">
      <c r="A35" s="6"/>
      <c r="B35" s="7"/>
      <c r="C35" s="13"/>
      <c r="D35" s="8"/>
    </row>
    <row r="36" spans="1:4" x14ac:dyDescent="0.35">
      <c r="A36" s="6"/>
      <c r="B36" s="7"/>
      <c r="C36" s="13"/>
      <c r="D36" s="8"/>
    </row>
    <row r="37" spans="1:4" x14ac:dyDescent="0.35">
      <c r="A37" s="6"/>
      <c r="B37" s="7"/>
      <c r="C37" s="13"/>
      <c r="D37" s="8"/>
    </row>
    <row r="38" spans="1:4" x14ac:dyDescent="0.35">
      <c r="A38" s="6"/>
      <c r="B38" s="7"/>
      <c r="C38" s="13"/>
      <c r="D38" s="8"/>
    </row>
    <row r="39" spans="1:4" ht="15" thickBot="1" x14ac:dyDescent="0.4">
      <c r="A39" s="9"/>
      <c r="B39" s="10"/>
      <c r="C39" s="14"/>
      <c r="D39" s="11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AR6"/>
  <sheetViews>
    <sheetView showGridLines="0" workbookViewId="0">
      <selection activeCell="B6" sqref="B2:B6"/>
    </sheetView>
  </sheetViews>
  <sheetFormatPr defaultRowHeight="14.5" x14ac:dyDescent="0.35"/>
  <cols>
    <col min="1" max="2" width="8.81640625" bestFit="1" customWidth="1"/>
    <col min="3" max="3" width="14.26953125" customWidth="1"/>
    <col min="4" max="4" width="17.08984375" customWidth="1"/>
    <col min="5" max="44" width="8.81640625" bestFit="1" customWidth="1"/>
  </cols>
  <sheetData>
    <row r="1" spans="1:44" ht="15" thickBot="1" x14ac:dyDescent="0.4">
      <c r="A1" s="44" t="s">
        <v>0</v>
      </c>
      <c r="B1" s="44" t="s">
        <v>46</v>
      </c>
      <c r="C1" s="44" t="s">
        <v>44</v>
      </c>
      <c r="D1" s="44" t="s">
        <v>45</v>
      </c>
      <c r="E1" s="44" t="s">
        <v>43</v>
      </c>
    </row>
    <row r="2" spans="1:44" ht="15" thickBot="1" x14ac:dyDescent="0.4">
      <c r="A2" s="37">
        <f>MAX('CAP1'!J3:J5)</f>
        <v>2</v>
      </c>
      <c r="B2" s="47">
        <f>'CAP1'!D3</f>
        <v>3.7080962781537301</v>
      </c>
      <c r="C2" s="40">
        <f>'CAP1'!I3</f>
        <v>1000000</v>
      </c>
      <c r="D2" s="29">
        <f>SUM('CAP1'!H3:H5)</f>
        <v>5345.3932346785296</v>
      </c>
      <c r="E2" s="29">
        <f t="shared" ref="E2:E6" si="0">G2-F2</f>
        <v>0.5</v>
      </c>
      <c r="F2" s="42" cm="1">
        <f t="array" ref="F2:H2">TRANSPOSE('CAP1'!J3:J5)</f>
        <v>1</v>
      </c>
      <c r="G2" s="42">
        <v>1.5</v>
      </c>
      <c r="H2" s="43">
        <v>2</v>
      </c>
    </row>
    <row r="3" spans="1:44" ht="15" thickBot="1" x14ac:dyDescent="0.4">
      <c r="A3" s="6">
        <f>MAX('CAP2'!J3:J7)</f>
        <v>3</v>
      </c>
      <c r="B3" s="48">
        <f>'CAP2'!D3</f>
        <v>3.6405459997167999</v>
      </c>
      <c r="C3" s="45">
        <f>'CAP2'!I3</f>
        <v>1000000</v>
      </c>
      <c r="D3" s="16">
        <f>SUM('CAP2'!H3:H7)</f>
        <v>12045.977252200239</v>
      </c>
      <c r="E3" s="16">
        <f t="shared" si="0"/>
        <v>0.5</v>
      </c>
      <c r="F3" s="13" cm="1">
        <f t="array" ref="F3:J3">TRANSPOSE('CAP2'!J3:J7)</f>
        <v>1</v>
      </c>
      <c r="G3" s="13">
        <v>1.5</v>
      </c>
      <c r="H3" s="13">
        <v>2</v>
      </c>
      <c r="I3" s="12">
        <v>2.5</v>
      </c>
      <c r="J3" s="30">
        <v>3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spans="1:44" ht="15" thickBot="1" x14ac:dyDescent="0.4">
      <c r="A4" s="38">
        <f>MAX('CAP3'!J3:J11)</f>
        <v>4.9972222222222218</v>
      </c>
      <c r="B4" s="49">
        <f>'CAP3'!D3</f>
        <v>3.6414804986144702</v>
      </c>
      <c r="C4" s="39">
        <f>'CAP3'!I3</f>
        <v>1000000</v>
      </c>
      <c r="D4" s="19">
        <f>SUM('CAP3'!H3:H11)</f>
        <v>27248.07053526169</v>
      </c>
      <c r="E4" s="19">
        <f t="shared" si="0"/>
        <v>0.5</v>
      </c>
      <c r="F4" s="12" cm="1">
        <f t="array" ref="F4:N4">TRANSPOSE('CAP3'!J3:J11)</f>
        <v>1</v>
      </c>
      <c r="G4" s="12">
        <v>1.5</v>
      </c>
      <c r="H4" s="12">
        <v>2</v>
      </c>
      <c r="I4" s="12">
        <v>2.5</v>
      </c>
      <c r="J4" s="12">
        <v>3</v>
      </c>
      <c r="K4" s="12">
        <v>3.4972222222222222</v>
      </c>
      <c r="L4" s="12">
        <v>4</v>
      </c>
      <c r="M4" s="12">
        <v>4.4944444444444445</v>
      </c>
      <c r="N4" s="30">
        <v>4.9972222222222218</v>
      </c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spans="1:44" ht="15" thickBot="1" x14ac:dyDescent="0.4">
      <c r="A5" s="3">
        <f>MAX('CAP4'!J3:J21)</f>
        <v>10</v>
      </c>
      <c r="B5" s="49">
        <f>'CAP4'!D3</f>
        <v>3.7588216849118901</v>
      </c>
      <c r="C5" s="39">
        <f>'CAP5'!I3</f>
        <v>1000000</v>
      </c>
      <c r="D5" s="19">
        <f>SUM('CAP4'!H3:H21)</f>
        <v>69379.143925407785</v>
      </c>
      <c r="E5" s="19">
        <f t="shared" si="0"/>
        <v>0.5</v>
      </c>
      <c r="F5" s="12" cm="1">
        <f t="array" ref="F5:X5">TRANSPOSE('CAP4'!J3:J21)</f>
        <v>1</v>
      </c>
      <c r="G5" s="12">
        <v>1.5</v>
      </c>
      <c r="H5" s="12">
        <v>2</v>
      </c>
      <c r="I5" s="12">
        <v>2.5</v>
      </c>
      <c r="J5" s="12">
        <v>3</v>
      </c>
      <c r="K5" s="12">
        <v>3.4972222222222222</v>
      </c>
      <c r="L5" s="12">
        <v>4</v>
      </c>
      <c r="M5" s="12">
        <v>4.4944444444444445</v>
      </c>
      <c r="N5" s="12">
        <v>4.9972222222222218</v>
      </c>
      <c r="O5" s="12">
        <v>5.5</v>
      </c>
      <c r="P5" s="12">
        <v>6</v>
      </c>
      <c r="Q5" s="12">
        <v>6.5</v>
      </c>
      <c r="R5" s="12">
        <v>7</v>
      </c>
      <c r="S5" s="12">
        <v>7.5</v>
      </c>
      <c r="T5" s="12">
        <v>8</v>
      </c>
      <c r="U5" s="12">
        <v>8.5</v>
      </c>
      <c r="V5" s="12">
        <v>9</v>
      </c>
      <c r="W5" s="12">
        <v>9.4972222222222218</v>
      </c>
      <c r="X5" s="30">
        <v>10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spans="1:44" ht="15" thickBot="1" x14ac:dyDescent="0.4">
      <c r="A6" s="37">
        <f>MAX('CAP5'!J3:J41)</f>
        <v>20</v>
      </c>
      <c r="B6" s="47">
        <f>'CAP5'!D3</f>
        <v>3.8923013975015501</v>
      </c>
      <c r="C6" s="40">
        <f>'CAP5'!I3</f>
        <v>1000000</v>
      </c>
      <c r="D6" s="29">
        <f>SUM('CAP5'!H3:H41)</f>
        <v>148357.51045473694</v>
      </c>
      <c r="E6" s="29">
        <f t="shared" si="0"/>
        <v>0.5</v>
      </c>
      <c r="F6" s="42" cm="1">
        <f t="array" ref="F6:AR6">TRANSPOSE('CAP5'!J3:J41)</f>
        <v>1</v>
      </c>
      <c r="G6" s="42">
        <v>1.5</v>
      </c>
      <c r="H6" s="42">
        <v>2</v>
      </c>
      <c r="I6" s="42">
        <v>2.5</v>
      </c>
      <c r="J6" s="42">
        <v>3</v>
      </c>
      <c r="K6" s="42">
        <v>3.4972222222222222</v>
      </c>
      <c r="L6" s="42">
        <v>4</v>
      </c>
      <c r="M6" s="42">
        <v>4.4944444444444445</v>
      </c>
      <c r="N6" s="42">
        <v>4.9972222222222218</v>
      </c>
      <c r="O6" s="42">
        <v>5.5</v>
      </c>
      <c r="P6" s="42">
        <v>6</v>
      </c>
      <c r="Q6" s="42">
        <v>6.5</v>
      </c>
      <c r="R6" s="42">
        <v>7</v>
      </c>
      <c r="S6" s="42">
        <v>7.5</v>
      </c>
      <c r="T6" s="42">
        <v>8</v>
      </c>
      <c r="U6" s="42">
        <v>8.5</v>
      </c>
      <c r="V6" s="42">
        <v>9</v>
      </c>
      <c r="W6" s="42">
        <v>9.4972222222222218</v>
      </c>
      <c r="X6" s="42">
        <v>10</v>
      </c>
      <c r="Y6" s="42">
        <v>10.494444444444444</v>
      </c>
      <c r="Z6" s="42">
        <v>11</v>
      </c>
      <c r="AA6" s="42">
        <v>11.5</v>
      </c>
      <c r="AB6" s="42">
        <v>12</v>
      </c>
      <c r="AC6" s="42">
        <v>12.5</v>
      </c>
      <c r="AD6" s="42">
        <v>13</v>
      </c>
      <c r="AE6" s="42">
        <v>13.5</v>
      </c>
      <c r="AF6" s="42">
        <v>14</v>
      </c>
      <c r="AG6" s="42">
        <v>14.5</v>
      </c>
      <c r="AH6" s="42">
        <v>15</v>
      </c>
      <c r="AI6" s="42">
        <v>15.494444444444444</v>
      </c>
      <c r="AJ6" s="42">
        <v>15.997222222222222</v>
      </c>
      <c r="AK6" s="42">
        <v>16.5</v>
      </c>
      <c r="AL6" s="42">
        <v>17</v>
      </c>
      <c r="AM6" s="42">
        <v>17.5</v>
      </c>
      <c r="AN6" s="42">
        <v>18</v>
      </c>
      <c r="AO6" s="42">
        <v>18.5</v>
      </c>
      <c r="AP6" s="42">
        <v>19</v>
      </c>
      <c r="AQ6" s="42">
        <v>19.5</v>
      </c>
      <c r="AR6" s="4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F41-341B-4D85-9F47-186E6B4965CC}">
  <dimension ref="B1:J3"/>
  <sheetViews>
    <sheetView showGridLines="0" workbookViewId="0">
      <selection activeCell="I3" sqref="I3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37</v>
      </c>
      <c r="C2" s="44" t="s">
        <v>38</v>
      </c>
      <c r="D2" s="44" t="s">
        <v>39</v>
      </c>
      <c r="E2" s="44" t="s">
        <v>40</v>
      </c>
      <c r="F2" s="44" t="s">
        <v>41</v>
      </c>
      <c r="G2" s="44" t="s">
        <v>42</v>
      </c>
      <c r="H2" s="44" t="s">
        <v>47</v>
      </c>
      <c r="I2" s="46" t="s">
        <v>48</v>
      </c>
      <c r="J2" s="36" t="s">
        <v>43</v>
      </c>
    </row>
    <row r="3" spans="2:10" ht="15" thickBot="1" x14ac:dyDescent="0.4">
      <c r="B3" s="27"/>
      <c r="C3" s="28"/>
      <c r="D3" s="29"/>
      <c r="E3" s="29"/>
      <c r="F3" s="29"/>
      <c r="G3" s="29"/>
      <c r="H3" s="29"/>
      <c r="I3" s="29"/>
      <c r="J3" s="35">
        <f>YEARFRAC(Curve!$B$2,C3)</f>
        <v>125.25277777777778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982A-AE06-46B4-BF12-DC790D433C8A}">
  <dimension ref="B1:J5"/>
  <sheetViews>
    <sheetView showGridLines="0" workbookViewId="0">
      <selection activeCell="B2" sqref="B2:I5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37</v>
      </c>
      <c r="C2" s="44" t="s">
        <v>38</v>
      </c>
      <c r="D2" s="44" t="s">
        <v>39</v>
      </c>
      <c r="E2" s="44" t="s">
        <v>40</v>
      </c>
      <c r="F2" s="44" t="s">
        <v>41</v>
      </c>
      <c r="G2" s="44" t="s">
        <v>42</v>
      </c>
      <c r="H2" s="44" t="s">
        <v>47</v>
      </c>
      <c r="I2" s="46" t="s">
        <v>48</v>
      </c>
      <c r="J2" s="36" t="s">
        <v>43</v>
      </c>
    </row>
    <row r="3" spans="2:10" x14ac:dyDescent="0.35">
      <c r="B3" s="17">
        <v>45930</v>
      </c>
      <c r="C3" s="18">
        <v>46112</v>
      </c>
      <c r="D3" s="19">
        <v>3.7080962781537301</v>
      </c>
      <c r="E3" s="19">
        <v>3.7080962781537301</v>
      </c>
      <c r="F3" s="19">
        <v>74.953117049441502</v>
      </c>
      <c r="G3" s="19">
        <v>3.70909793</v>
      </c>
      <c r="H3" s="19">
        <v>1455.39008706754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3.7080962781537301</v>
      </c>
      <c r="E4" s="16">
        <v>3.7080962781537301</v>
      </c>
      <c r="F4" s="16">
        <v>86.774121340307303</v>
      </c>
      <c r="G4" s="16">
        <v>3.4800103899999999</v>
      </c>
      <c r="H4" s="16">
        <v>1535.56447855702</v>
      </c>
      <c r="I4" s="16">
        <v>1000000</v>
      </c>
      <c r="J4" s="33">
        <f>YEARFRAC(Curve!$B$2,C4)</f>
        <v>1.5</v>
      </c>
    </row>
    <row r="5" spans="2:10" ht="15" thickBot="1" x14ac:dyDescent="0.4">
      <c r="B5" s="23">
        <v>46295</v>
      </c>
      <c r="C5" s="24">
        <v>46477</v>
      </c>
      <c r="D5" s="25">
        <v>3.7080962781537301</v>
      </c>
      <c r="E5" s="25">
        <v>3.7080962781537301</v>
      </c>
      <c r="F5" s="25">
        <v>111.35643708153999</v>
      </c>
      <c r="G5" s="25">
        <v>3.4362697999999998</v>
      </c>
      <c r="H5" s="25">
        <v>2354.43866905397</v>
      </c>
      <c r="I5" s="25">
        <v>1000000</v>
      </c>
      <c r="J5" s="34">
        <f>YEARFRAC(Curve!$B$2,C5)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97D-B410-4024-83CC-D73557997FD3}">
  <dimension ref="B1:J7"/>
  <sheetViews>
    <sheetView showGridLines="0" workbookViewId="0">
      <selection activeCell="G13" sqref="G13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3.6405459997167999</v>
      </c>
      <c r="E3" s="19">
        <v>3.6405459997167999</v>
      </c>
      <c r="F3" s="19">
        <v>76.209372432161999</v>
      </c>
      <c r="G3" s="19">
        <v>3.70909793</v>
      </c>
      <c r="H3" s="19">
        <v>1649.8293473864401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3.6405459997167999</v>
      </c>
      <c r="E4" s="16">
        <v>3.6405459997167999</v>
      </c>
      <c r="F4" s="16">
        <v>87.547980932776198</v>
      </c>
      <c r="G4" s="16">
        <v>3.4800103899999999</v>
      </c>
      <c r="H4" s="16">
        <v>1692.16113532585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3.6405459997167999</v>
      </c>
      <c r="E5" s="16">
        <v>3.6405459997167999</v>
      </c>
      <c r="F5" s="16">
        <v>111.12713270109499</v>
      </c>
      <c r="G5" s="16">
        <v>3.4362697999999998</v>
      </c>
      <c r="H5" s="16">
        <v>2487.8836467472902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3.6405459997167999</v>
      </c>
      <c r="E6" s="16">
        <v>3.6405459997167999</v>
      </c>
      <c r="F6" s="16">
        <v>118.385380623416</v>
      </c>
      <c r="G6" s="16">
        <v>3.4736556200000002</v>
      </c>
      <c r="H6" s="16">
        <v>3090.4514833401799</v>
      </c>
      <c r="I6" s="22">
        <v>1000000</v>
      </c>
      <c r="J6" s="33">
        <f>YEARFRAC(Curve!$B$2,C6)</f>
        <v>2.5</v>
      </c>
    </row>
    <row r="7" spans="2:10" ht="15" thickBot="1" x14ac:dyDescent="0.4">
      <c r="B7" s="23">
        <v>46660</v>
      </c>
      <c r="C7" s="24">
        <v>46843</v>
      </c>
      <c r="D7" s="25">
        <v>3.6405459997167999</v>
      </c>
      <c r="E7" s="25">
        <v>3.6405459997167999</v>
      </c>
      <c r="F7" s="25">
        <v>107.50934341442</v>
      </c>
      <c r="G7" s="25">
        <v>3.5241853600000002</v>
      </c>
      <c r="H7" s="25">
        <v>3125.6516394004798</v>
      </c>
      <c r="I7" s="26">
        <v>1000000</v>
      </c>
      <c r="J7" s="34">
        <f>YEARFRAC(Curve!$B$2,C7)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7341-2EB7-435C-BE7D-50CCE8E04654}">
  <dimension ref="B1:J11"/>
  <sheetViews>
    <sheetView showGridLines="0" workbookViewId="0">
      <selection activeCell="B2" sqref="B2:I1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3.6414804986144702</v>
      </c>
      <c r="E3" s="19">
        <v>3.6414804986144702</v>
      </c>
      <c r="F3" s="19">
        <v>76.191973513926499</v>
      </c>
      <c r="G3" s="19">
        <v>3.70909793</v>
      </c>
      <c r="H3" s="19">
        <v>1647.06137919044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3.6414804986144702</v>
      </c>
      <c r="E4" s="16">
        <v>3.6414804986144702</v>
      </c>
      <c r="F4" s="16">
        <v>87.537297837746394</v>
      </c>
      <c r="G4" s="16">
        <v>3.4800103899999999</v>
      </c>
      <c r="H4" s="16">
        <v>1689.9376863309301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3.6414804986144702</v>
      </c>
      <c r="E5" s="16">
        <v>3.6414804986144702</v>
      </c>
      <c r="F5" s="16">
        <v>111.130415465692</v>
      </c>
      <c r="G5" s="16">
        <v>3.4362697999999998</v>
      </c>
      <c r="H5" s="16">
        <v>2486.0042915543399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3.6414804986144702</v>
      </c>
      <c r="E6" s="16">
        <v>3.6414804986144702</v>
      </c>
      <c r="F6" s="16">
        <v>118.396023165278</v>
      </c>
      <c r="G6" s="16">
        <v>3.4736556200000002</v>
      </c>
      <c r="H6" s="16">
        <v>3088.7492955187399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3.6414804986144702</v>
      </c>
      <c r="E7" s="16">
        <v>3.6414804986144702</v>
      </c>
      <c r="F7" s="16">
        <v>107.520057080877</v>
      </c>
      <c r="G7" s="16">
        <v>3.5241853600000002</v>
      </c>
      <c r="H7" s="16">
        <v>3123.9661919697601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3.6414804986144702</v>
      </c>
      <c r="E8" s="16">
        <v>3.6414804986144702</v>
      </c>
      <c r="F8" s="16">
        <v>104.450710048712</v>
      </c>
      <c r="G8" s="16">
        <v>3.5755480500000001</v>
      </c>
      <c r="H8" s="16">
        <v>3323.7131124692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3.6414804986144702</v>
      </c>
      <c r="E9" s="16">
        <v>3.6414804986144702</v>
      </c>
      <c r="F9" s="16">
        <v>109.779683058277</v>
      </c>
      <c r="G9" s="16">
        <v>3.6220490999999999</v>
      </c>
      <c r="H9" s="16">
        <v>3784.1437058504398</v>
      </c>
      <c r="I9" s="22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3.6414804986144702</v>
      </c>
      <c r="E10" s="16">
        <v>3.6414804986144702</v>
      </c>
      <c r="F10" s="16">
        <v>109.859062496052</v>
      </c>
      <c r="G10" s="16">
        <v>3.66441829</v>
      </c>
      <c r="H10" s="16">
        <v>4036.5713490360199</v>
      </c>
      <c r="I10" s="22">
        <v>1000000</v>
      </c>
      <c r="J10" s="33">
        <f>YEARFRAC(Curve!$B$2,C10)</f>
        <v>4.4944444444444445</v>
      </c>
    </row>
    <row r="11" spans="2:10" ht="15" thickBot="1" x14ac:dyDescent="0.4">
      <c r="B11" s="23">
        <v>47389</v>
      </c>
      <c r="C11" s="24">
        <v>47571</v>
      </c>
      <c r="D11" s="25">
        <v>3.6414804986144702</v>
      </c>
      <c r="E11" s="25">
        <v>3.6414804986144702</v>
      </c>
      <c r="F11" s="25">
        <v>104.206127114054</v>
      </c>
      <c r="G11" s="25">
        <v>3.7142656600000001</v>
      </c>
      <c r="H11" s="25">
        <v>4067.9235233418199</v>
      </c>
      <c r="I11" s="26">
        <v>1000000</v>
      </c>
      <c r="J11" s="34">
        <f>YEARFRAC(Curve!$B$2,C11)</f>
        <v>4.9972222222222218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13E6-06F6-4457-B91B-63628717BBB9}">
  <dimension ref="B1:J21"/>
  <sheetViews>
    <sheetView showGridLines="0" workbookViewId="0">
      <selection activeCell="B2" sqref="B2:I2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3.7588216849118901</v>
      </c>
      <c r="E3" s="19">
        <v>3.7588216849118901</v>
      </c>
      <c r="F3" s="19">
        <v>74.003272365107193</v>
      </c>
      <c r="G3" s="19">
        <v>3.70909793</v>
      </c>
      <c r="H3" s="19">
        <v>1316.97427449773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3.7588216849118901</v>
      </c>
      <c r="E4" s="16">
        <v>3.7588216849118901</v>
      </c>
      <c r="F4" s="16">
        <v>86.168423505095205</v>
      </c>
      <c r="G4" s="16">
        <v>3.4800103899999999</v>
      </c>
      <c r="H4" s="16">
        <v>1423.0104874057699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3.7588216849118901</v>
      </c>
      <c r="E5" s="16">
        <v>3.7588216849118901</v>
      </c>
      <c r="F5" s="16">
        <v>111.466408262116</v>
      </c>
      <c r="G5" s="16">
        <v>3.4362697999999998</v>
      </c>
      <c r="H5" s="16">
        <v>2256.0768918425301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3.7588216849118901</v>
      </c>
      <c r="E6" s="16">
        <v>3.7588216849118901</v>
      </c>
      <c r="F6" s="16">
        <v>119.670553551363</v>
      </c>
      <c r="G6" s="16">
        <v>3.4736556200000002</v>
      </c>
      <c r="H6" s="16">
        <v>2879.7468530880801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3.7588216849118901</v>
      </c>
      <c r="E7" s="16">
        <v>3.7588216849118901</v>
      </c>
      <c r="F7" s="16">
        <v>108.88860065901299</v>
      </c>
      <c r="G7" s="16">
        <v>3.5241853600000002</v>
      </c>
      <c r="H7" s="16">
        <v>2919.5575317736598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3.7588216849118901</v>
      </c>
      <c r="E8" s="16">
        <v>3.7588216849118901</v>
      </c>
      <c r="F8" s="16">
        <v>105.74147851446099</v>
      </c>
      <c r="G8" s="16">
        <v>3.5755480500000001</v>
      </c>
      <c r="H8" s="16">
        <v>3118.57777669496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3.7588216849118901</v>
      </c>
      <c r="E9" s="16">
        <v>3.7588216849118901</v>
      </c>
      <c r="F9" s="16">
        <v>110.808661534976</v>
      </c>
      <c r="G9" s="16">
        <v>3.6220490999999999</v>
      </c>
      <c r="H9" s="16">
        <v>3570.8263431944802</v>
      </c>
      <c r="I9" s="22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3.7588216849118901</v>
      </c>
      <c r="E10" s="16">
        <v>3.7588216849118901</v>
      </c>
      <c r="F10" s="16">
        <v>110.739163254866</v>
      </c>
      <c r="G10" s="16">
        <v>3.66441829</v>
      </c>
      <c r="H10" s="16">
        <v>3819.8399136021299</v>
      </c>
      <c r="I10" s="22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3.7588216849118901</v>
      </c>
      <c r="E11" s="16">
        <v>3.7588216849118901</v>
      </c>
      <c r="F11" s="16">
        <v>105.06064516372599</v>
      </c>
      <c r="G11" s="16">
        <v>3.7142656600000001</v>
      </c>
      <c r="H11" s="16">
        <v>3851.7203068662502</v>
      </c>
      <c r="I11" s="22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3.7588216849118901</v>
      </c>
      <c r="E12" s="16">
        <v>3.7588216849118901</v>
      </c>
      <c r="F12" s="16">
        <v>102.07416854168601</v>
      </c>
      <c r="G12" s="16">
        <v>3.7715769799999999</v>
      </c>
      <c r="H12" s="16">
        <v>4037.8742500469498</v>
      </c>
      <c r="I12" s="22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3.7588216849118901</v>
      </c>
      <c r="E13" s="16">
        <v>3.7588216849118901</v>
      </c>
      <c r="F13" s="16">
        <v>102.093067943329</v>
      </c>
      <c r="G13" s="16">
        <v>3.8136904999999999</v>
      </c>
      <c r="H13" s="16">
        <v>4155.90940119676</v>
      </c>
      <c r="I13" s="22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3.7588216849118901</v>
      </c>
      <c r="E14" s="16">
        <v>3.7588216849118901</v>
      </c>
      <c r="F14" s="16">
        <v>102.11166086818901</v>
      </c>
      <c r="G14" s="16">
        <v>3.8396549100000001</v>
      </c>
      <c r="H14" s="16">
        <v>4315.7209943308098</v>
      </c>
      <c r="I14" s="22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3.7588216849118901</v>
      </c>
      <c r="E15" s="16">
        <v>3.7588216849118901</v>
      </c>
      <c r="F15" s="16">
        <v>102.13035595197699</v>
      </c>
      <c r="G15" s="16">
        <v>3.8644074800000001</v>
      </c>
      <c r="H15" s="16">
        <v>4436.4089853394898</v>
      </c>
      <c r="I15" s="22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3.7588216849118901</v>
      </c>
      <c r="E16" s="16">
        <v>3.7588216849118901</v>
      </c>
      <c r="F16" s="16">
        <v>101.340987574853</v>
      </c>
      <c r="G16" s="16">
        <v>3.8913882599999998</v>
      </c>
      <c r="H16" s="16">
        <v>4516.5965672501297</v>
      </c>
      <c r="I16" s="22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3.7588216849118901</v>
      </c>
      <c r="E17" s="16">
        <v>3.7588216849118901</v>
      </c>
      <c r="F17" s="16">
        <v>99.698158913170403</v>
      </c>
      <c r="G17" s="16">
        <v>3.9161422300000002</v>
      </c>
      <c r="H17" s="16">
        <v>4519.1999003494102</v>
      </c>
      <c r="I17" s="22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3.7588216849118901</v>
      </c>
      <c r="E18" s="16">
        <v>3.7588216849118901</v>
      </c>
      <c r="F18" s="16">
        <v>98.064307457289601</v>
      </c>
      <c r="G18" s="16">
        <v>3.9397949300000001</v>
      </c>
      <c r="H18" s="16">
        <v>4558.5575116472701</v>
      </c>
      <c r="I18" s="22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3.7588216849118901</v>
      </c>
      <c r="E19" s="16">
        <v>3.7588216849118901</v>
      </c>
      <c r="F19" s="16">
        <v>96.4214787956073</v>
      </c>
      <c r="G19" s="16">
        <v>3.9688725900000001</v>
      </c>
      <c r="H19" s="16">
        <v>4547.5582800294396</v>
      </c>
      <c r="I19" s="22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3.7588216849118901</v>
      </c>
      <c r="E20" s="16">
        <v>3.7588216849118901</v>
      </c>
      <c r="F20" s="16">
        <v>94.787627339726498</v>
      </c>
      <c r="G20" s="16">
        <v>4.0045443900000004</v>
      </c>
      <c r="H20" s="16">
        <v>4564.5541811327503</v>
      </c>
      <c r="I20" s="22">
        <v>1000000</v>
      </c>
      <c r="J20" s="33">
        <f>YEARFRAC(Curve!$B$2,C20)</f>
        <v>9.4972222222222218</v>
      </c>
    </row>
    <row r="21" spans="2:10" ht="15" thickBot="1" x14ac:dyDescent="0.4">
      <c r="B21" s="23">
        <v>49216</v>
      </c>
      <c r="C21" s="24">
        <v>49398</v>
      </c>
      <c r="D21" s="25">
        <v>3.7588216849118901</v>
      </c>
      <c r="E21" s="25">
        <v>3.7588216849118901</v>
      </c>
      <c r="F21" s="25">
        <v>93.153775883845697</v>
      </c>
      <c r="G21" s="25">
        <v>4.0391506399999999</v>
      </c>
      <c r="H21" s="25">
        <v>4570.43347511919</v>
      </c>
      <c r="I21" s="26">
        <v>1000000</v>
      </c>
      <c r="J21" s="34">
        <f>YEARFRAC(Curve!$B$2,C21)</f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631-CB88-4635-BBB3-DB22BA68487C}">
  <dimension ref="B1:J41"/>
  <sheetViews>
    <sheetView showGridLines="0" workbookViewId="0">
      <selection activeCell="B2" sqref="B2:I4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6" t="s">
        <v>43</v>
      </c>
    </row>
    <row r="3" spans="2:10" x14ac:dyDescent="0.35">
      <c r="B3" s="17">
        <v>45930</v>
      </c>
      <c r="C3" s="18">
        <v>46112</v>
      </c>
      <c r="D3" s="19">
        <v>3.8923013975015501</v>
      </c>
      <c r="E3" s="19">
        <v>3.8923013975015501</v>
      </c>
      <c r="F3" s="19">
        <v>71.506913996333196</v>
      </c>
      <c r="G3" s="19">
        <v>3.70909793</v>
      </c>
      <c r="H3" s="19">
        <v>986.29905531109796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3.8923013975015501</v>
      </c>
      <c r="E4" s="16">
        <v>3.8923013975015501</v>
      </c>
      <c r="F4" s="16">
        <v>84.576484269055499</v>
      </c>
      <c r="G4" s="16">
        <v>3.4800103899999999</v>
      </c>
      <c r="H4" s="16">
        <v>1150.18228968792</v>
      </c>
      <c r="I4" s="16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3.8923013975015501</v>
      </c>
      <c r="E5" s="16">
        <v>3.8923013975015501</v>
      </c>
      <c r="F5" s="16">
        <v>111.755249722564</v>
      </c>
      <c r="G5" s="16">
        <v>3.4362697999999998</v>
      </c>
      <c r="H5" s="16">
        <v>2011.2738515849401</v>
      </c>
      <c r="I5" s="16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3.8923013975015501</v>
      </c>
      <c r="E6" s="16">
        <v>3.8923013975015501</v>
      </c>
      <c r="F6" s="16">
        <v>121.026601996818</v>
      </c>
      <c r="G6" s="16">
        <v>3.4736556200000002</v>
      </c>
      <c r="H6" s="16">
        <v>2654.63951524103</v>
      </c>
      <c r="I6" s="16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3.8923013975015501</v>
      </c>
      <c r="E7" s="16">
        <v>3.8923013975015501</v>
      </c>
      <c r="F7" s="16">
        <v>110.416090167181</v>
      </c>
      <c r="G7" s="16">
        <v>3.5241853600000002</v>
      </c>
      <c r="H7" s="16">
        <v>2701.3093191861199</v>
      </c>
      <c r="I7" s="16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3.8923013975015501</v>
      </c>
      <c r="E8" s="16">
        <v>3.8923013975015501</v>
      </c>
      <c r="F8" s="16">
        <v>107.214355243056</v>
      </c>
      <c r="G8" s="16">
        <v>3.5755480500000001</v>
      </c>
      <c r="H8" s="16">
        <v>2899.74626491854</v>
      </c>
      <c r="I8" s="16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3.8923013975015501</v>
      </c>
      <c r="E9" s="16">
        <v>3.8923013975015501</v>
      </c>
      <c r="F9" s="16">
        <v>111.984522043322</v>
      </c>
      <c r="G9" s="16">
        <v>3.6220490999999999</v>
      </c>
      <c r="H9" s="16">
        <v>3341.20063341177</v>
      </c>
      <c r="I9" s="16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3.8923013975015501</v>
      </c>
      <c r="E10" s="16">
        <v>3.8923013975015501</v>
      </c>
      <c r="F10" s="16">
        <v>111.745354474801</v>
      </c>
      <c r="G10" s="16">
        <v>3.66441829</v>
      </c>
      <c r="H10" s="16">
        <v>3585.5040860890099</v>
      </c>
      <c r="I10" s="16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3.8923013975015501</v>
      </c>
      <c r="E11" s="16">
        <v>3.8923013975015501</v>
      </c>
      <c r="F11" s="16">
        <v>106.036224089794</v>
      </c>
      <c r="G11" s="16">
        <v>3.7142656600000001</v>
      </c>
      <c r="H11" s="16">
        <v>3617.8008079977999</v>
      </c>
      <c r="I11" s="16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3.8923013975015501</v>
      </c>
      <c r="E12" s="16">
        <v>3.8923013975015501</v>
      </c>
      <c r="F12" s="16">
        <v>103.03735177665</v>
      </c>
      <c r="G12" s="16">
        <v>3.7715769799999999</v>
      </c>
      <c r="H12" s="16">
        <v>3800.4441520670098</v>
      </c>
      <c r="I12" s="16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3.8923013975015501</v>
      </c>
      <c r="E13" s="16">
        <v>3.8923013975015501</v>
      </c>
      <c r="F13" s="16">
        <v>103.06432116421399</v>
      </c>
      <c r="G13" s="16">
        <v>3.8136904999999999</v>
      </c>
      <c r="H13" s="16">
        <v>3924.8728895334798</v>
      </c>
      <c r="I13" s="16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3.8923013975015501</v>
      </c>
      <c r="E14" s="16">
        <v>3.8923013975015501</v>
      </c>
      <c r="F14" s="16">
        <v>103.09085321035801</v>
      </c>
      <c r="G14" s="16">
        <v>3.8396549100000001</v>
      </c>
      <c r="H14" s="16">
        <v>4087.5866736029998</v>
      </c>
      <c r="I14" s="16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3.8923013975015501</v>
      </c>
      <c r="E15" s="16">
        <v>3.8923013975015501</v>
      </c>
      <c r="F15" s="16">
        <v>103.117531036975</v>
      </c>
      <c r="G15" s="16">
        <v>3.8644074800000001</v>
      </c>
      <c r="H15" s="16">
        <v>4212.6047683037305</v>
      </c>
      <c r="I15" s="16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3.8923013975015501</v>
      </c>
      <c r="E16" s="16">
        <v>3.8923013975015501</v>
      </c>
      <c r="F16" s="16">
        <v>102.338910236049</v>
      </c>
      <c r="G16" s="16">
        <v>3.8913882599999998</v>
      </c>
      <c r="H16" s="16">
        <v>4297.0853192077702</v>
      </c>
      <c r="I16" s="16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3.8923013975015501</v>
      </c>
      <c r="E17" s="16">
        <v>3.8923013975015501</v>
      </c>
      <c r="F17" s="16">
        <v>100.709749311652</v>
      </c>
      <c r="G17" s="16">
        <v>3.9161422300000002</v>
      </c>
      <c r="H17" s="16">
        <v>4305.3626003681302</v>
      </c>
      <c r="I17" s="16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3.8923013975015501</v>
      </c>
      <c r="E18" s="16">
        <v>3.8923013975015501</v>
      </c>
      <c r="F18" s="16">
        <v>99.089490905967295</v>
      </c>
      <c r="G18" s="16">
        <v>3.9397949300000001</v>
      </c>
      <c r="H18" s="16">
        <v>4348.10869590529</v>
      </c>
      <c r="I18" s="16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3.8923013975015501</v>
      </c>
      <c r="E19" s="16">
        <v>3.8923013975015501</v>
      </c>
      <c r="F19" s="16">
        <v>97.460329981570197</v>
      </c>
      <c r="G19" s="16">
        <v>3.9688725900000001</v>
      </c>
      <c r="H19" s="16">
        <v>4342.3599696003503</v>
      </c>
      <c r="I19" s="16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3.8923013975015501</v>
      </c>
      <c r="E20" s="16">
        <v>3.8923013975015501</v>
      </c>
      <c r="F20" s="16">
        <v>95.840071575885602</v>
      </c>
      <c r="G20" s="16">
        <v>4.0045443900000004</v>
      </c>
      <c r="H20" s="16">
        <v>4362.9985039374496</v>
      </c>
      <c r="I20" s="16">
        <v>1000000</v>
      </c>
      <c r="J20" s="33">
        <f>YEARFRAC(Curve!$B$2,C20)</f>
        <v>9.4972222222222218</v>
      </c>
    </row>
    <row r="21" spans="2:10" x14ac:dyDescent="0.35">
      <c r="B21" s="21">
        <v>49216</v>
      </c>
      <c r="C21" s="15">
        <v>49398</v>
      </c>
      <c r="D21" s="16">
        <v>3.8923013975015501</v>
      </c>
      <c r="E21" s="16">
        <v>3.8923013975015501</v>
      </c>
      <c r="F21" s="16">
        <v>94.219813170200993</v>
      </c>
      <c r="G21" s="16">
        <v>4.0391506399999999</v>
      </c>
      <c r="H21" s="16">
        <v>4372.5722132043502</v>
      </c>
      <c r="I21" s="16">
        <v>1000000</v>
      </c>
      <c r="J21" s="33">
        <f>YEARFRAC(Curve!$B$2,C21)</f>
        <v>10</v>
      </c>
    </row>
    <row r="22" spans="2:10" x14ac:dyDescent="0.35">
      <c r="B22" s="21">
        <v>49398</v>
      </c>
      <c r="C22" s="15">
        <v>49580</v>
      </c>
      <c r="D22" s="16">
        <v>3.8923013975015501</v>
      </c>
      <c r="E22" s="16">
        <v>3.8923013975015501</v>
      </c>
      <c r="F22" s="16">
        <v>93.204926334051706</v>
      </c>
      <c r="G22" s="16">
        <v>4.0704551699999998</v>
      </c>
      <c r="H22" s="16">
        <v>4394.5070866899496</v>
      </c>
      <c r="I22" s="16">
        <v>1000000</v>
      </c>
      <c r="J22" s="33">
        <f>YEARFRAC(Curve!$B$2,C22)</f>
        <v>10.494444444444444</v>
      </c>
    </row>
    <row r="23" spans="2:10" x14ac:dyDescent="0.35">
      <c r="B23" s="21">
        <v>49580</v>
      </c>
      <c r="C23" s="15">
        <v>49765</v>
      </c>
      <c r="D23" s="16">
        <v>3.8923013975015501</v>
      </c>
      <c r="E23" s="16">
        <v>3.8923013975015501</v>
      </c>
      <c r="F23" s="16">
        <v>92.851077418657994</v>
      </c>
      <c r="G23" s="16">
        <v>4.0992130099999997</v>
      </c>
      <c r="H23" s="16">
        <v>4506.3292325914099</v>
      </c>
      <c r="I23" s="16">
        <v>1000000</v>
      </c>
      <c r="J23" s="33">
        <f>YEARFRAC(Curve!$B$2,C23)</f>
        <v>11</v>
      </c>
    </row>
    <row r="24" spans="2:10" x14ac:dyDescent="0.35">
      <c r="B24" s="21">
        <v>49765</v>
      </c>
      <c r="C24" s="15">
        <v>49948</v>
      </c>
      <c r="D24" s="16">
        <v>3.8923013975015501</v>
      </c>
      <c r="E24" s="16">
        <v>3.8923013975015501</v>
      </c>
      <c r="F24" s="16">
        <v>92.491395828834797</v>
      </c>
      <c r="G24" s="16">
        <v>4.1230917500000004</v>
      </c>
      <c r="H24" s="16">
        <v>4481.80821888635</v>
      </c>
      <c r="I24" s="16">
        <v>1000000</v>
      </c>
      <c r="J24" s="33">
        <f>YEARFRAC(Curve!$B$2,C24)</f>
        <v>11.5</v>
      </c>
    </row>
    <row r="25" spans="2:10" x14ac:dyDescent="0.35">
      <c r="B25" s="21">
        <v>49948</v>
      </c>
      <c r="C25" s="15">
        <v>50130</v>
      </c>
      <c r="D25" s="16">
        <v>3.8923013975015501</v>
      </c>
      <c r="E25" s="16">
        <v>3.8923013975015501</v>
      </c>
      <c r="F25" s="16">
        <v>92.135602688631295</v>
      </c>
      <c r="G25" s="16">
        <v>4.1428856999999999</v>
      </c>
      <c r="H25" s="16">
        <v>4468.9720441017098</v>
      </c>
      <c r="I25" s="16">
        <v>1000000</v>
      </c>
      <c r="J25" s="33">
        <f>YEARFRAC(Curve!$B$2,C25)</f>
        <v>12</v>
      </c>
    </row>
    <row r="26" spans="2:10" x14ac:dyDescent="0.35">
      <c r="B26" s="21">
        <v>50130</v>
      </c>
      <c r="C26" s="15">
        <v>50313</v>
      </c>
      <c r="D26" s="16">
        <v>3.8923013975015501</v>
      </c>
      <c r="E26" s="16">
        <v>3.8923013975015501</v>
      </c>
      <c r="F26" s="16">
        <v>91.781753773237597</v>
      </c>
      <c r="G26" s="16">
        <v>4.15876132</v>
      </c>
      <c r="H26" s="16">
        <v>4493.7274184041999</v>
      </c>
      <c r="I26" s="16">
        <v>1000000</v>
      </c>
      <c r="J26" s="33">
        <f>YEARFRAC(Curve!$B$2,C26)</f>
        <v>12.5</v>
      </c>
    </row>
    <row r="27" spans="2:10" x14ac:dyDescent="0.35">
      <c r="B27" s="21">
        <v>50313</v>
      </c>
      <c r="C27" s="15">
        <v>50495</v>
      </c>
      <c r="D27" s="16">
        <v>3.8923013975015501</v>
      </c>
      <c r="E27" s="16">
        <v>3.8923013975015501</v>
      </c>
      <c r="F27" s="16">
        <v>91.425960633034094</v>
      </c>
      <c r="G27" s="16">
        <v>4.1696996000000004</v>
      </c>
      <c r="H27" s="16">
        <v>4457.00288848521</v>
      </c>
      <c r="I27" s="16">
        <v>1000000</v>
      </c>
      <c r="J27" s="33">
        <f>YEARFRAC(Curve!$B$2,C27)</f>
        <v>13</v>
      </c>
    </row>
    <row r="28" spans="2:10" x14ac:dyDescent="0.35">
      <c r="B28" s="21">
        <v>50495</v>
      </c>
      <c r="C28" s="15">
        <v>50678</v>
      </c>
      <c r="D28" s="16">
        <v>3.8923013975015501</v>
      </c>
      <c r="E28" s="16">
        <v>3.8923013975015501</v>
      </c>
      <c r="F28" s="16">
        <v>91.072111717640396</v>
      </c>
      <c r="G28" s="16">
        <v>4.1763497699999999</v>
      </c>
      <c r="H28" s="16">
        <v>4458.7688997840996</v>
      </c>
      <c r="I28" s="16">
        <v>1000000</v>
      </c>
      <c r="J28" s="33">
        <f>YEARFRAC(Curve!$B$2,C28)</f>
        <v>13.5</v>
      </c>
    </row>
    <row r="29" spans="2:10" x14ac:dyDescent="0.35">
      <c r="B29" s="21">
        <v>50678</v>
      </c>
      <c r="C29" s="15">
        <v>50860</v>
      </c>
      <c r="D29" s="16">
        <v>3.8923013975015501</v>
      </c>
      <c r="E29" s="16">
        <v>3.8923013975015501</v>
      </c>
      <c r="F29" s="16">
        <v>90.716318577436894</v>
      </c>
      <c r="G29" s="16">
        <v>4.17736777</v>
      </c>
      <c r="H29" s="16">
        <v>4400.1103359667404</v>
      </c>
      <c r="I29" s="16">
        <v>1000000</v>
      </c>
      <c r="J29" s="33">
        <f>YEARFRAC(Curve!$B$2,C29)</f>
        <v>14</v>
      </c>
    </row>
    <row r="30" spans="2:10" x14ac:dyDescent="0.35">
      <c r="B30" s="21">
        <v>50860</v>
      </c>
      <c r="C30" s="15">
        <v>51043</v>
      </c>
      <c r="D30" s="16">
        <v>3.8923013975015501</v>
      </c>
      <c r="E30" s="16">
        <v>3.8923013975015501</v>
      </c>
      <c r="F30" s="16">
        <v>90.362469662043196</v>
      </c>
      <c r="G30" s="16">
        <v>4.1732919700000002</v>
      </c>
      <c r="H30" s="16">
        <v>4379.7638791539803</v>
      </c>
      <c r="I30" s="16">
        <v>1000000</v>
      </c>
      <c r="J30" s="33">
        <f>YEARFRAC(Curve!$B$2,C30)</f>
        <v>14.5</v>
      </c>
    </row>
    <row r="31" spans="2:10" x14ac:dyDescent="0.35">
      <c r="B31" s="21">
        <v>51043</v>
      </c>
      <c r="C31" s="15">
        <v>51225</v>
      </c>
      <c r="D31" s="16">
        <v>3.8923013975015501</v>
      </c>
      <c r="E31" s="16">
        <v>3.8923013975015501</v>
      </c>
      <c r="F31" s="16">
        <v>90.006676521839694</v>
      </c>
      <c r="G31" s="16">
        <v>4.1627382300000004</v>
      </c>
      <c r="H31" s="16">
        <v>4300.0875098910001</v>
      </c>
      <c r="I31" s="16">
        <v>1000000</v>
      </c>
      <c r="J31" s="33">
        <f>YEARFRAC(Curve!$B$2,C31)</f>
        <v>15</v>
      </c>
    </row>
    <row r="32" spans="2:10" x14ac:dyDescent="0.35">
      <c r="B32" s="21">
        <v>51225</v>
      </c>
      <c r="C32" s="15">
        <v>51407</v>
      </c>
      <c r="D32" s="16">
        <v>3.8923013975015501</v>
      </c>
      <c r="E32" s="16">
        <v>3.8923013975015501</v>
      </c>
      <c r="F32" s="16">
        <v>89.655866990897806</v>
      </c>
      <c r="G32" s="16">
        <v>4.1466706699999998</v>
      </c>
      <c r="H32" s="16">
        <v>4236.1745796244404</v>
      </c>
      <c r="I32" s="16">
        <v>1000000</v>
      </c>
      <c r="J32" s="33">
        <f>YEARFRAC(Curve!$B$2,C32)</f>
        <v>15.494444444444444</v>
      </c>
    </row>
    <row r="33" spans="2:10" x14ac:dyDescent="0.35">
      <c r="B33" s="21">
        <v>51407</v>
      </c>
      <c r="C33" s="15">
        <v>51589</v>
      </c>
      <c r="D33" s="16">
        <v>3.8923013975015501</v>
      </c>
      <c r="E33" s="16">
        <v>3.8923013975015501</v>
      </c>
      <c r="F33" s="16">
        <v>89.308376328036005</v>
      </c>
      <c r="G33" s="16">
        <v>4.1272044799999996</v>
      </c>
      <c r="H33" s="16">
        <v>4167.4479798292996</v>
      </c>
      <c r="I33" s="16">
        <v>1000000</v>
      </c>
      <c r="J33" s="33">
        <f>YEARFRAC(Curve!$B$2,C33)</f>
        <v>15.997222222222222</v>
      </c>
    </row>
    <row r="34" spans="2:10" x14ac:dyDescent="0.35">
      <c r="B34" s="21">
        <v>51589</v>
      </c>
      <c r="C34" s="15">
        <v>51774</v>
      </c>
      <c r="D34" s="16">
        <v>3.8923013975015501</v>
      </c>
      <c r="E34" s="16">
        <v>3.8923013975015501</v>
      </c>
      <c r="F34" s="16">
        <v>88.960885665174203</v>
      </c>
      <c r="G34" s="16">
        <v>4.1053874800000001</v>
      </c>
      <c r="H34" s="16">
        <v>4162.8082643770704</v>
      </c>
      <c r="I34" s="16">
        <v>1000000</v>
      </c>
      <c r="J34" s="33">
        <f>YEARFRAC(Curve!$B$2,C34)</f>
        <v>16.5</v>
      </c>
    </row>
    <row r="35" spans="2:10" x14ac:dyDescent="0.35">
      <c r="B35" s="21">
        <v>51774</v>
      </c>
      <c r="C35" s="15">
        <v>51956</v>
      </c>
      <c r="D35" s="16">
        <v>3.8923013975015501</v>
      </c>
      <c r="E35" s="16">
        <v>3.8923013975015501</v>
      </c>
      <c r="F35" s="16">
        <v>88.6076671342433</v>
      </c>
      <c r="G35" s="16">
        <v>4.0791467600000004</v>
      </c>
      <c r="H35" s="16">
        <v>4017.9619358241898</v>
      </c>
      <c r="I35" s="16">
        <v>1000000</v>
      </c>
      <c r="J35" s="33">
        <f>YEARFRAC(Curve!$B$2,C35)</f>
        <v>17</v>
      </c>
    </row>
    <row r="36" spans="2:10" x14ac:dyDescent="0.35">
      <c r="B36" s="21">
        <v>51956</v>
      </c>
      <c r="C36" s="15">
        <v>52139</v>
      </c>
      <c r="D36" s="16">
        <v>3.8923013975015501</v>
      </c>
      <c r="E36" s="16">
        <v>3.8923013975015501</v>
      </c>
      <c r="F36" s="16">
        <v>88.260176471381499</v>
      </c>
      <c r="G36" s="16">
        <v>4.0508077800000004</v>
      </c>
      <c r="H36" s="16">
        <v>3960.6131749052201</v>
      </c>
      <c r="I36" s="16">
        <v>1000000</v>
      </c>
      <c r="J36" s="33">
        <f>YEARFRAC(Curve!$B$2,C36)</f>
        <v>17.5</v>
      </c>
    </row>
    <row r="37" spans="2:10" x14ac:dyDescent="0.35">
      <c r="B37" s="21">
        <v>52139</v>
      </c>
      <c r="C37" s="15">
        <v>52321</v>
      </c>
      <c r="D37" s="16">
        <v>3.8923013975015501</v>
      </c>
      <c r="E37" s="16">
        <v>3.8923013975015501</v>
      </c>
      <c r="F37" s="16">
        <v>87.910776519163406</v>
      </c>
      <c r="G37" s="16">
        <v>4.0187288299999997</v>
      </c>
      <c r="H37" s="16">
        <v>3856.5132350397098</v>
      </c>
      <c r="I37" s="16">
        <v>1000000</v>
      </c>
      <c r="J37" s="33">
        <f>YEARFRAC(Curve!$B$2,C37)</f>
        <v>18</v>
      </c>
    </row>
    <row r="38" spans="2:10" x14ac:dyDescent="0.35">
      <c r="B38" s="21">
        <v>52321</v>
      </c>
      <c r="C38" s="15">
        <v>52504</v>
      </c>
      <c r="D38" s="16">
        <v>3.8923013975015501</v>
      </c>
      <c r="E38" s="16">
        <v>3.8923013975015501</v>
      </c>
      <c r="F38" s="16">
        <v>87.563285856301604</v>
      </c>
      <c r="G38" s="16">
        <v>3.9836580000000001</v>
      </c>
      <c r="H38" s="16">
        <v>3792.5802117723501</v>
      </c>
      <c r="I38" s="16">
        <v>1000000</v>
      </c>
      <c r="J38" s="33">
        <f>YEARFRAC(Curve!$B$2,C38)</f>
        <v>18.5</v>
      </c>
    </row>
    <row r="39" spans="2:10" x14ac:dyDescent="0.35">
      <c r="B39" s="21">
        <v>52504</v>
      </c>
      <c r="C39" s="15">
        <v>52687</v>
      </c>
      <c r="D39" s="16">
        <v>3.8923013975015501</v>
      </c>
      <c r="E39" s="16">
        <v>3.8923013975015501</v>
      </c>
      <c r="F39" s="16">
        <v>87.213885904083398</v>
      </c>
      <c r="G39" s="16">
        <v>3.9446765400000001</v>
      </c>
      <c r="H39" s="16">
        <v>3704.21810656551</v>
      </c>
      <c r="I39" s="16">
        <v>1000000</v>
      </c>
      <c r="J39" s="33">
        <f>YEARFRAC(Curve!$B$2,C39)</f>
        <v>19</v>
      </c>
    </row>
    <row r="40" spans="2:10" x14ac:dyDescent="0.35">
      <c r="B40" s="21">
        <v>52687</v>
      </c>
      <c r="C40" s="15">
        <v>52870</v>
      </c>
      <c r="D40" s="16">
        <v>3.8923013975015501</v>
      </c>
      <c r="E40" s="16">
        <v>3.8923013975015501</v>
      </c>
      <c r="F40" s="16">
        <v>86.864485951865305</v>
      </c>
      <c r="G40" s="16">
        <v>3.9019540099999999</v>
      </c>
      <c r="H40" s="16">
        <v>3613.86854875269</v>
      </c>
      <c r="I40" s="16">
        <v>1000000</v>
      </c>
      <c r="J40" s="33">
        <f>YEARFRAC(Curve!$B$2,C40)</f>
        <v>19.5</v>
      </c>
    </row>
    <row r="41" spans="2:10" ht="15" thickBot="1" x14ac:dyDescent="0.4">
      <c r="B41" s="23">
        <v>52870</v>
      </c>
      <c r="C41" s="24">
        <v>53052</v>
      </c>
      <c r="D41" s="25">
        <v>3.8923013975015501</v>
      </c>
      <c r="E41" s="25">
        <v>3.8923013975015501</v>
      </c>
      <c r="F41" s="25">
        <v>86.515085999647098</v>
      </c>
      <c r="G41" s="25">
        <v>3.8552783599999998</v>
      </c>
      <c r="H41" s="25">
        <v>3502.2952949330302</v>
      </c>
      <c r="I41" s="25">
        <v>1000000</v>
      </c>
      <c r="J41" s="34">
        <f>YEARFRAC(Curve!$B$2,C41)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Curve</vt:lpstr>
      <vt:lpstr>Template</vt:lpstr>
      <vt:lpstr>CAP0</vt:lpstr>
      <vt:lpstr>CAP1</vt:lpstr>
      <vt:lpstr>CAP2</vt:lpstr>
      <vt:lpstr>CAP3</vt:lpstr>
      <vt:lpstr>CAP4</vt:lpstr>
      <vt:lpstr>CAP5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2025-09-11T08:26:36Z</dcterms:modified>
</cp:coreProperties>
</file>